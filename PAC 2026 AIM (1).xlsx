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C:\Users\geren\OneDrive\Documentos\ARCHIVOS\Documentos\AÑO 2026\ENTIDADES DESCENTRALIZADAS\AIM\"/>
    </mc:Choice>
  </mc:AlternateContent>
  <xr:revisionPtr revIDLastSave="0" documentId="13_ncr:1_{C2F280B8-077D-4FEE-A44F-EC9005D9FA16}" xr6:coauthVersionLast="47" xr6:coauthVersionMax="47" xr10:uidLastSave="{00000000-0000-0000-0000-000000000000}"/>
  <bookViews>
    <workbookView xWindow="-120" yWindow="-120" windowWidth="20730" windowHeight="11040" firstSheet="1" activeTab="3" xr2:uid="{00000000-000D-0000-FFFF-FFFF00000000}"/>
  </bookViews>
  <sheets>
    <sheet name="PROG PAC INGRESOS-GASTOS 2026" sheetId="54" r:id="rId1"/>
    <sheet name="PAC EJECUTADO COMPROMISOS" sheetId="58" r:id="rId2"/>
    <sheet name="PAC EJECUTADO PAGOS" sheetId="60" r:id="rId3"/>
    <sheet name="SEGUIMIENTO PAC" sheetId="59" r:id="rId4"/>
    <sheet name="Hoja1" sheetId="57" r:id="rId5"/>
  </sheets>
  <definedNames>
    <definedName name="_xlnm._FilterDatabase" localSheetId="1" hidden="1">'PAC EJECUTADO COMPROMISOS'!$B$29:$BN$249</definedName>
    <definedName name="_xlnm._FilterDatabase" localSheetId="2" hidden="1">'PAC EJECUTADO PAGOS'!$B$29:$BN$249</definedName>
    <definedName name="_xlnm._FilterDatabase" localSheetId="0" hidden="1">'PROG PAC INGRESOS-GASTOS 2026'!$B$29:$BN$249</definedName>
    <definedName name="_xlnm._FilterDatabase" localSheetId="3" hidden="1">'SEGUIMIENTO PAC'!$B$29:$BN$249</definedName>
    <definedName name="_xlnm.Print_Area" localSheetId="1">'PAC EJECUTADO COMPROMISOS'!$B$1:$V$268</definedName>
    <definedName name="_xlnm.Print_Area" localSheetId="2">'PAC EJECUTADO PAGOS'!$B$1:$V$268</definedName>
    <definedName name="_xlnm.Print_Area" localSheetId="0">'PROG PAC INGRESOS-GASTOS 2026'!$B$1:$V$268</definedName>
    <definedName name="_xlnm.Print_Area" localSheetId="3">'SEGUIMIENTO PAC'!$B$1:$V$268</definedName>
    <definedName name="_xlnm.Print_Titles" localSheetId="1">'PAC EJECUTADO COMPROMISOS'!$B:$I,'PAC EJECUTADO COMPROMISOS'!$1:$4</definedName>
    <definedName name="_xlnm.Print_Titles" localSheetId="2">'PAC EJECUTADO PAGOS'!$B:$I,'PAC EJECUTADO PAGOS'!$1:$4</definedName>
    <definedName name="_xlnm.Print_Titles" localSheetId="0">'PROG PAC INGRESOS-GASTOS 2026'!$B:$I,'PROG PAC INGRESOS-GASTOS 2026'!$1:$4</definedName>
    <definedName name="_xlnm.Print_Titles" localSheetId="3">'SEGUIMIENTO PAC'!$B:$I,'SEGUIMIENTO PAC'!$1:$4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9" i="60" l="1"/>
  <c r="I258" i="60"/>
  <c r="I257" i="60"/>
  <c r="I256" i="60"/>
  <c r="I255" i="60"/>
  <c r="I254" i="60"/>
  <c r="I253" i="60"/>
  <c r="I252" i="60"/>
  <c r="I251" i="60"/>
  <c r="I250" i="60"/>
  <c r="I249" i="60" s="1"/>
  <c r="V249" i="60"/>
  <c r="U249" i="60"/>
  <c r="T249" i="60"/>
  <c r="S249" i="60"/>
  <c r="R249" i="60"/>
  <c r="Q249" i="60"/>
  <c r="P249" i="60"/>
  <c r="O249" i="60"/>
  <c r="N249" i="60"/>
  <c r="M249" i="60"/>
  <c r="L249" i="60"/>
  <c r="K249" i="60"/>
  <c r="J249" i="60"/>
  <c r="H249" i="60"/>
  <c r="G249" i="60"/>
  <c r="F249" i="60"/>
  <c r="E249" i="60"/>
  <c r="D249" i="60"/>
  <c r="D246" i="60" s="1"/>
  <c r="I248" i="60"/>
  <c r="V247" i="60"/>
  <c r="U247" i="60"/>
  <c r="T247" i="60"/>
  <c r="S247" i="60"/>
  <c r="S246" i="60" s="1"/>
  <c r="R247" i="60"/>
  <c r="R246" i="60" s="1"/>
  <c r="Q247" i="60"/>
  <c r="Q246" i="60" s="1"/>
  <c r="P247" i="60"/>
  <c r="P246" i="60" s="1"/>
  <c r="O247" i="60"/>
  <c r="N247" i="60"/>
  <c r="M247" i="60"/>
  <c r="L247" i="60"/>
  <c r="K247" i="60"/>
  <c r="K246" i="60" s="1"/>
  <c r="J247" i="60"/>
  <c r="J246" i="60" s="1"/>
  <c r="I247" i="60"/>
  <c r="H247" i="60"/>
  <c r="G247" i="60"/>
  <c r="F247" i="60"/>
  <c r="E247" i="60"/>
  <c r="D247" i="60"/>
  <c r="V246" i="60"/>
  <c r="U246" i="60"/>
  <c r="T246" i="60"/>
  <c r="O246" i="60"/>
  <c r="N246" i="60"/>
  <c r="M246" i="60"/>
  <c r="L246" i="60"/>
  <c r="I245" i="60"/>
  <c r="W245" i="60" s="1"/>
  <c r="I244" i="60"/>
  <c r="W244" i="60" s="1"/>
  <c r="W243" i="60"/>
  <c r="I243" i="60"/>
  <c r="I242" i="60"/>
  <c r="W242" i="60" s="1"/>
  <c r="I241" i="60"/>
  <c r="W241" i="60" s="1"/>
  <c r="I240" i="60"/>
  <c r="W240" i="60" s="1"/>
  <c r="W239" i="60"/>
  <c r="I239" i="60"/>
  <c r="I238" i="60"/>
  <c r="W238" i="60" s="1"/>
  <c r="I237" i="60"/>
  <c r="W237" i="60" s="1"/>
  <c r="I236" i="60"/>
  <c r="W236" i="60" s="1"/>
  <c r="W235" i="60"/>
  <c r="I235" i="60"/>
  <c r="I234" i="60"/>
  <c r="W234" i="60" s="1"/>
  <c r="I233" i="60"/>
  <c r="W233" i="60" s="1"/>
  <c r="I232" i="60"/>
  <c r="W232" i="60" s="1"/>
  <c r="W231" i="60"/>
  <c r="I231" i="60"/>
  <c r="I230" i="60"/>
  <c r="W230" i="60" s="1"/>
  <c r="I229" i="60"/>
  <c r="W229" i="60" s="1"/>
  <c r="I228" i="60"/>
  <c r="W228" i="60" s="1"/>
  <c r="W227" i="60"/>
  <c r="I227" i="60"/>
  <c r="I226" i="60"/>
  <c r="W226" i="60" s="1"/>
  <c r="I225" i="60"/>
  <c r="W225" i="60" s="1"/>
  <c r="I224" i="60"/>
  <c r="W224" i="60" s="1"/>
  <c r="W223" i="60"/>
  <c r="I223" i="60"/>
  <c r="I222" i="60"/>
  <c r="W222" i="60" s="1"/>
  <c r="I221" i="60"/>
  <c r="W221" i="60" s="1"/>
  <c r="I220" i="60"/>
  <c r="W220" i="60" s="1"/>
  <c r="W219" i="60"/>
  <c r="I219" i="60"/>
  <c r="I218" i="60"/>
  <c r="W218" i="60" s="1"/>
  <c r="I217" i="60"/>
  <c r="W217" i="60" s="1"/>
  <c r="I216" i="60"/>
  <c r="W216" i="60" s="1"/>
  <c r="W215" i="60"/>
  <c r="I215" i="60"/>
  <c r="I214" i="60"/>
  <c r="W214" i="60" s="1"/>
  <c r="I213" i="60"/>
  <c r="W213" i="60" s="1"/>
  <c r="I212" i="60"/>
  <c r="W212" i="60" s="1"/>
  <c r="W211" i="60"/>
  <c r="I211" i="60"/>
  <c r="I210" i="60"/>
  <c r="W209" i="60"/>
  <c r="I209" i="60"/>
  <c r="W208" i="60"/>
  <c r="I208" i="60"/>
  <c r="W207" i="60"/>
  <c r="I207" i="60"/>
  <c r="W206" i="60"/>
  <c r="I206" i="60"/>
  <c r="W205" i="60"/>
  <c r="I205" i="60"/>
  <c r="W204" i="60"/>
  <c r="I204" i="60"/>
  <c r="W203" i="60"/>
  <c r="I203" i="60"/>
  <c r="W202" i="60"/>
  <c r="I202" i="60"/>
  <c r="W201" i="60"/>
  <c r="I201" i="60"/>
  <c r="W200" i="60"/>
  <c r="I200" i="60"/>
  <c r="W199" i="60"/>
  <c r="I199" i="60"/>
  <c r="W198" i="60"/>
  <c r="I198" i="60"/>
  <c r="W197" i="60"/>
  <c r="I197" i="60"/>
  <c r="W196" i="60"/>
  <c r="I196" i="60"/>
  <c r="W195" i="60"/>
  <c r="I195" i="60"/>
  <c r="I194" i="60"/>
  <c r="W194" i="60" s="1"/>
  <c r="W193" i="60"/>
  <c r="I193" i="60"/>
  <c r="W192" i="60"/>
  <c r="I192" i="60"/>
  <c r="W191" i="60"/>
  <c r="I191" i="60"/>
  <c r="I190" i="60"/>
  <c r="W190" i="60" s="1"/>
  <c r="W189" i="60"/>
  <c r="I189" i="60"/>
  <c r="W188" i="60"/>
  <c r="I188" i="60"/>
  <c r="W187" i="60"/>
  <c r="I187" i="60"/>
  <c r="I186" i="60"/>
  <c r="W186" i="60" s="1"/>
  <c r="W185" i="60"/>
  <c r="I185" i="60"/>
  <c r="W184" i="60"/>
  <c r="I184" i="60"/>
  <c r="I183" i="60"/>
  <c r="W183" i="60" s="1"/>
  <c r="I182" i="60"/>
  <c r="W182" i="60" s="1"/>
  <c r="W181" i="60"/>
  <c r="I181" i="60"/>
  <c r="W180" i="60"/>
  <c r="I180" i="60"/>
  <c r="I179" i="60"/>
  <c r="W179" i="60" s="1"/>
  <c r="I178" i="60"/>
  <c r="W178" i="60" s="1"/>
  <c r="W177" i="60"/>
  <c r="I177" i="60"/>
  <c r="W176" i="60"/>
  <c r="I176" i="60"/>
  <c r="I175" i="60"/>
  <c r="W175" i="60" s="1"/>
  <c r="I174" i="60"/>
  <c r="W174" i="60" s="1"/>
  <c r="W173" i="60"/>
  <c r="I173" i="60"/>
  <c r="W172" i="60"/>
  <c r="I172" i="60"/>
  <c r="I171" i="60"/>
  <c r="W171" i="60" s="1"/>
  <c r="I170" i="60"/>
  <c r="W170" i="60" s="1"/>
  <c r="W169" i="60"/>
  <c r="I169" i="60"/>
  <c r="W168" i="60"/>
  <c r="I168" i="60"/>
  <c r="I167" i="60"/>
  <c r="W167" i="60" s="1"/>
  <c r="I166" i="60"/>
  <c r="W166" i="60" s="1"/>
  <c r="W165" i="60"/>
  <c r="I165" i="60"/>
  <c r="W164" i="60"/>
  <c r="I164" i="60"/>
  <c r="I163" i="60"/>
  <c r="W163" i="60" s="1"/>
  <c r="I162" i="60"/>
  <c r="W162" i="60" s="1"/>
  <c r="W161" i="60"/>
  <c r="I161" i="60"/>
  <c r="W160" i="60"/>
  <c r="I160" i="60"/>
  <c r="I159" i="60"/>
  <c r="W159" i="60" s="1"/>
  <c r="I158" i="60"/>
  <c r="W158" i="60" s="1"/>
  <c r="W157" i="60"/>
  <c r="I157" i="60"/>
  <c r="W156" i="60"/>
  <c r="I156" i="60"/>
  <c r="I155" i="60"/>
  <c r="W155" i="60" s="1"/>
  <c r="I154" i="60"/>
  <c r="W154" i="60" s="1"/>
  <c r="W153" i="60"/>
  <c r="I153" i="60"/>
  <c r="W152" i="60"/>
  <c r="I152" i="60"/>
  <c r="I151" i="60"/>
  <c r="W151" i="60" s="1"/>
  <c r="I150" i="60"/>
  <c r="W150" i="60" s="1"/>
  <c r="W149" i="60"/>
  <c r="I149" i="60"/>
  <c r="W148" i="60"/>
  <c r="I148" i="60"/>
  <c r="I147" i="60"/>
  <c r="W147" i="60" s="1"/>
  <c r="I146" i="60"/>
  <c r="W146" i="60" s="1"/>
  <c r="W145" i="60"/>
  <c r="I145" i="60"/>
  <c r="W144" i="60"/>
  <c r="I144" i="60"/>
  <c r="I143" i="60"/>
  <c r="W143" i="60" s="1"/>
  <c r="I142" i="60"/>
  <c r="W142" i="60" s="1"/>
  <c r="W141" i="60"/>
  <c r="I141" i="60"/>
  <c r="W140" i="60"/>
  <c r="I140" i="60"/>
  <c r="I139" i="60"/>
  <c r="W139" i="60" s="1"/>
  <c r="I138" i="60"/>
  <c r="W138" i="60" s="1"/>
  <c r="W137" i="60"/>
  <c r="I137" i="60"/>
  <c r="W136" i="60"/>
  <c r="I136" i="60"/>
  <c r="I135" i="60"/>
  <c r="W135" i="60" s="1"/>
  <c r="I134" i="60"/>
  <c r="W134" i="60" s="1"/>
  <c r="W133" i="60"/>
  <c r="I133" i="60"/>
  <c r="W132" i="60"/>
  <c r="I132" i="60"/>
  <c r="I131" i="60"/>
  <c r="W131" i="60" s="1"/>
  <c r="I130" i="60"/>
  <c r="W130" i="60" s="1"/>
  <c r="W129" i="60"/>
  <c r="I129" i="60"/>
  <c r="W128" i="60"/>
  <c r="I128" i="60"/>
  <c r="I127" i="60"/>
  <c r="W127" i="60" s="1"/>
  <c r="I126" i="60"/>
  <c r="W126" i="60" s="1"/>
  <c r="W125" i="60"/>
  <c r="I125" i="60"/>
  <c r="W124" i="60"/>
  <c r="I124" i="60"/>
  <c r="V123" i="60"/>
  <c r="U123" i="60"/>
  <c r="T123" i="60"/>
  <c r="S123" i="60"/>
  <c r="R123" i="60"/>
  <c r="Q123" i="60"/>
  <c r="P123" i="60"/>
  <c r="O123" i="60"/>
  <c r="N123" i="60"/>
  <c r="M123" i="60"/>
  <c r="L123" i="60"/>
  <c r="K123" i="60"/>
  <c r="J123" i="60"/>
  <c r="I123" i="60"/>
  <c r="W123" i="60" s="1"/>
  <c r="H123" i="60"/>
  <c r="G123" i="60"/>
  <c r="F123" i="60"/>
  <c r="E123" i="60"/>
  <c r="D123" i="60"/>
  <c r="I122" i="60"/>
  <c r="I121" i="60"/>
  <c r="I120" i="60"/>
  <c r="I119" i="60"/>
  <c r="I118" i="60"/>
  <c r="I117" i="60"/>
  <c r="I116" i="60"/>
  <c r="I115" i="60"/>
  <c r="V114" i="60"/>
  <c r="V113" i="60" s="1"/>
  <c r="U114" i="60"/>
  <c r="T114" i="60"/>
  <c r="T113" i="60" s="1"/>
  <c r="S114" i="60"/>
  <c r="R114" i="60"/>
  <c r="R113" i="60" s="1"/>
  <c r="Q114" i="60"/>
  <c r="Q113" i="60" s="1"/>
  <c r="P114" i="60"/>
  <c r="O114" i="60"/>
  <c r="O113" i="60" s="1"/>
  <c r="N114" i="60"/>
  <c r="N113" i="60" s="1"/>
  <c r="M114" i="60"/>
  <c r="L114" i="60"/>
  <c r="L113" i="60" s="1"/>
  <c r="K114" i="60"/>
  <c r="J114" i="60"/>
  <c r="J113" i="60" s="1"/>
  <c r="I114" i="60"/>
  <c r="I113" i="60" s="1"/>
  <c r="D114" i="60"/>
  <c r="U113" i="60"/>
  <c r="S113" i="60"/>
  <c r="P113" i="60"/>
  <c r="M113" i="60"/>
  <c r="K113" i="60"/>
  <c r="H113" i="60"/>
  <c r="G113" i="60"/>
  <c r="F113" i="60"/>
  <c r="E113" i="60"/>
  <c r="D113" i="60"/>
  <c r="I112" i="60"/>
  <c r="V111" i="60"/>
  <c r="V110" i="60" s="1"/>
  <c r="U111" i="60"/>
  <c r="U110" i="60" s="1"/>
  <c r="T111" i="60"/>
  <c r="T110" i="60" s="1"/>
  <c r="S111" i="60"/>
  <c r="R111" i="60"/>
  <c r="Q111" i="60"/>
  <c r="P111" i="60"/>
  <c r="O111" i="60"/>
  <c r="O110" i="60" s="1"/>
  <c r="N111" i="60"/>
  <c r="N110" i="60" s="1"/>
  <c r="M111" i="60"/>
  <c r="M110" i="60" s="1"/>
  <c r="L111" i="60"/>
  <c r="L110" i="60" s="1"/>
  <c r="K111" i="60"/>
  <c r="J111" i="60"/>
  <c r="H111" i="60"/>
  <c r="G111" i="60"/>
  <c r="G110" i="60" s="1"/>
  <c r="G108" i="60" s="1"/>
  <c r="G107" i="60" s="1"/>
  <c r="G106" i="60" s="1"/>
  <c r="F111" i="60"/>
  <c r="F110" i="60" s="1"/>
  <c r="F108" i="60" s="1"/>
  <c r="F107" i="60" s="1"/>
  <c r="F106" i="60" s="1"/>
  <c r="E111" i="60"/>
  <c r="E110" i="60" s="1"/>
  <c r="E108" i="60" s="1"/>
  <c r="D111" i="60"/>
  <c r="I111" i="60" s="1"/>
  <c r="S110" i="60"/>
  <c r="R110" i="60"/>
  <c r="Q110" i="60"/>
  <c r="P110" i="60"/>
  <c r="K110" i="60"/>
  <c r="J110" i="60"/>
  <c r="H110" i="60"/>
  <c r="H108" i="60" s="1"/>
  <c r="H107" i="60" s="1"/>
  <c r="H106" i="60" s="1"/>
  <c r="I109" i="60"/>
  <c r="V107" i="60"/>
  <c r="U107" i="60"/>
  <c r="T107" i="60"/>
  <c r="S107" i="60"/>
  <c r="R107" i="60"/>
  <c r="Q107" i="60"/>
  <c r="P107" i="60"/>
  <c r="O107" i="60"/>
  <c r="N107" i="60"/>
  <c r="M107" i="60"/>
  <c r="L107" i="60"/>
  <c r="K107" i="60"/>
  <c r="J107" i="60"/>
  <c r="D107" i="60"/>
  <c r="D106" i="60"/>
  <c r="I105" i="60"/>
  <c r="V104" i="60"/>
  <c r="U104" i="60"/>
  <c r="U97" i="60" s="1"/>
  <c r="T104" i="60"/>
  <c r="S104" i="60"/>
  <c r="S97" i="60" s="1"/>
  <c r="R104" i="60"/>
  <c r="Q104" i="60"/>
  <c r="P104" i="60"/>
  <c r="O104" i="60"/>
  <c r="N104" i="60"/>
  <c r="M104" i="60"/>
  <c r="M97" i="60" s="1"/>
  <c r="L104" i="60"/>
  <c r="K104" i="60"/>
  <c r="K97" i="60" s="1"/>
  <c r="J104" i="60"/>
  <c r="H104" i="60"/>
  <c r="G104" i="60"/>
  <c r="F104" i="60"/>
  <c r="E104" i="60"/>
  <c r="E97" i="60" s="1"/>
  <c r="D104" i="60"/>
  <c r="I104" i="60" s="1"/>
  <c r="I103" i="60"/>
  <c r="V102" i="60"/>
  <c r="U102" i="60"/>
  <c r="T102" i="60"/>
  <c r="S102" i="60"/>
  <c r="R102" i="60"/>
  <c r="Q102" i="60"/>
  <c r="P102" i="60"/>
  <c r="O102" i="60"/>
  <c r="N102" i="60"/>
  <c r="M102" i="60"/>
  <c r="L102" i="60"/>
  <c r="K102" i="60"/>
  <c r="J102" i="60"/>
  <c r="I102" i="60"/>
  <c r="H102" i="60"/>
  <c r="G102" i="60"/>
  <c r="F102" i="60"/>
  <c r="E102" i="60"/>
  <c r="D102" i="60"/>
  <c r="I101" i="60"/>
  <c r="I100" i="60"/>
  <c r="I98" i="60" s="1"/>
  <c r="X99" i="60"/>
  <c r="X100" i="60" s="1"/>
  <c r="I99" i="60"/>
  <c r="V98" i="60"/>
  <c r="V97" i="60" s="1"/>
  <c r="U98" i="60"/>
  <c r="T98" i="60"/>
  <c r="S98" i="60"/>
  <c r="R98" i="60"/>
  <c r="Q98" i="60"/>
  <c r="Q97" i="60" s="1"/>
  <c r="P98" i="60"/>
  <c r="P97" i="60" s="1"/>
  <c r="O98" i="60"/>
  <c r="O97" i="60" s="1"/>
  <c r="N98" i="60"/>
  <c r="N97" i="60" s="1"/>
  <c r="M98" i="60"/>
  <c r="L98" i="60"/>
  <c r="K98" i="60"/>
  <c r="J98" i="60"/>
  <c r="H98" i="60"/>
  <c r="H97" i="60" s="1"/>
  <c r="G98" i="60"/>
  <c r="G97" i="60" s="1"/>
  <c r="F98" i="60"/>
  <c r="F97" i="60" s="1"/>
  <c r="E98" i="60"/>
  <c r="D98" i="60"/>
  <c r="T97" i="60"/>
  <c r="R97" i="60"/>
  <c r="L97" i="60"/>
  <c r="J97" i="60"/>
  <c r="D97" i="60"/>
  <c r="I96" i="60"/>
  <c r="I95" i="60"/>
  <c r="V94" i="60"/>
  <c r="U94" i="60"/>
  <c r="T94" i="60"/>
  <c r="S94" i="60"/>
  <c r="R94" i="60"/>
  <c r="Q94" i="60"/>
  <c r="P94" i="60"/>
  <c r="O94" i="60"/>
  <c r="N94" i="60"/>
  <c r="M94" i="60"/>
  <c r="L94" i="60"/>
  <c r="K94" i="60"/>
  <c r="J94" i="60"/>
  <c r="I94" i="60"/>
  <c r="H94" i="60"/>
  <c r="G94" i="60"/>
  <c r="F94" i="60"/>
  <c r="E94" i="60"/>
  <c r="D94" i="60"/>
  <c r="I93" i="60"/>
  <c r="I92" i="60"/>
  <c r="V91" i="60"/>
  <c r="V90" i="60" s="1"/>
  <c r="U91" i="60"/>
  <c r="U90" i="60" s="1"/>
  <c r="T91" i="60"/>
  <c r="T90" i="60" s="1"/>
  <c r="S91" i="60"/>
  <c r="S90" i="60" s="1"/>
  <c r="R91" i="60"/>
  <c r="Q91" i="60"/>
  <c r="P91" i="60"/>
  <c r="O91" i="60"/>
  <c r="N91" i="60"/>
  <c r="N90" i="60" s="1"/>
  <c r="M91" i="60"/>
  <c r="M90" i="60" s="1"/>
  <c r="L91" i="60"/>
  <c r="L90" i="60" s="1"/>
  <c r="K91" i="60"/>
  <c r="K90" i="60" s="1"/>
  <c r="J91" i="60"/>
  <c r="H91" i="60"/>
  <c r="G91" i="60"/>
  <c r="F91" i="60"/>
  <c r="F90" i="60" s="1"/>
  <c r="F87" i="60" s="1"/>
  <c r="F84" i="60" s="1"/>
  <c r="F81" i="60" s="1"/>
  <c r="E91" i="60"/>
  <c r="E90" i="60" s="1"/>
  <c r="E87" i="60" s="1"/>
  <c r="E84" i="60" s="1"/>
  <c r="D91" i="60"/>
  <c r="I91" i="60" s="1"/>
  <c r="R90" i="60"/>
  <c r="Q90" i="60"/>
  <c r="P90" i="60"/>
  <c r="O90" i="60"/>
  <c r="J90" i="60"/>
  <c r="H90" i="60"/>
  <c r="H87" i="60" s="1"/>
  <c r="H84" i="60" s="1"/>
  <c r="H81" i="60" s="1"/>
  <c r="G90" i="60"/>
  <c r="G87" i="60" s="1"/>
  <c r="G84" i="60" s="1"/>
  <c r="G81" i="60" s="1"/>
  <c r="I89" i="60"/>
  <c r="I88" i="60"/>
  <c r="V87" i="60"/>
  <c r="U87" i="60"/>
  <c r="T87" i="60"/>
  <c r="S87" i="60"/>
  <c r="R87" i="60"/>
  <c r="Q87" i="60"/>
  <c r="P87" i="60"/>
  <c r="O87" i="60"/>
  <c r="N87" i="60"/>
  <c r="M87" i="60"/>
  <c r="L87" i="60"/>
  <c r="K87" i="60"/>
  <c r="J87" i="60"/>
  <c r="D87" i="60"/>
  <c r="I86" i="60"/>
  <c r="I85" i="60"/>
  <c r="V84" i="60"/>
  <c r="U84" i="60"/>
  <c r="T84" i="60"/>
  <c r="S84" i="60"/>
  <c r="S75" i="60" s="1"/>
  <c r="R84" i="60"/>
  <c r="Q84" i="60"/>
  <c r="P84" i="60"/>
  <c r="O84" i="60"/>
  <c r="N84" i="60"/>
  <c r="M84" i="60"/>
  <c r="L84" i="60"/>
  <c r="K84" i="60"/>
  <c r="K75" i="60" s="1"/>
  <c r="J84" i="60"/>
  <c r="D84" i="60"/>
  <c r="I83" i="60"/>
  <c r="I82" i="60"/>
  <c r="V81" i="60"/>
  <c r="U81" i="60"/>
  <c r="U75" i="60" s="1"/>
  <c r="U74" i="60" s="1"/>
  <c r="T81" i="60"/>
  <c r="S81" i="60"/>
  <c r="R81" i="60"/>
  <c r="Q81" i="60"/>
  <c r="P81" i="60"/>
  <c r="O81" i="60"/>
  <c r="N81" i="60"/>
  <c r="M81" i="60"/>
  <c r="M75" i="60" s="1"/>
  <c r="M74" i="60" s="1"/>
  <c r="L81" i="60"/>
  <c r="K81" i="60"/>
  <c r="J81" i="60"/>
  <c r="D81" i="60"/>
  <c r="I80" i="60"/>
  <c r="V79" i="60"/>
  <c r="U79" i="60"/>
  <c r="T79" i="60"/>
  <c r="S79" i="60"/>
  <c r="R79" i="60"/>
  <c r="Q79" i="60"/>
  <c r="P79" i="60"/>
  <c r="O79" i="60"/>
  <c r="N79" i="60"/>
  <c r="M79" i="60"/>
  <c r="L79" i="60"/>
  <c r="K79" i="60"/>
  <c r="J79" i="60"/>
  <c r="H79" i="60"/>
  <c r="G79" i="60"/>
  <c r="F79" i="60"/>
  <c r="E79" i="60"/>
  <c r="D79" i="60"/>
  <c r="I79" i="60" s="1"/>
  <c r="I78" i="60"/>
  <c r="I77" i="60"/>
  <c r="V76" i="60"/>
  <c r="V75" i="60" s="1"/>
  <c r="U76" i="60"/>
  <c r="T76" i="60"/>
  <c r="S76" i="60"/>
  <c r="R76" i="60"/>
  <c r="Q76" i="60"/>
  <c r="Q75" i="60" s="1"/>
  <c r="Q74" i="60" s="1"/>
  <c r="P76" i="60"/>
  <c r="P75" i="60" s="1"/>
  <c r="P74" i="60" s="1"/>
  <c r="O76" i="60"/>
  <c r="O75" i="60" s="1"/>
  <c r="N76" i="60"/>
  <c r="N75" i="60" s="1"/>
  <c r="M76" i="60"/>
  <c r="L76" i="60"/>
  <c r="K76" i="60"/>
  <c r="J76" i="60"/>
  <c r="I76" i="60"/>
  <c r="H76" i="60"/>
  <c r="H75" i="60" s="1"/>
  <c r="H74" i="60" s="1"/>
  <c r="G76" i="60"/>
  <c r="F76" i="60"/>
  <c r="E76" i="60"/>
  <c r="D76" i="60"/>
  <c r="T75" i="60"/>
  <c r="R75" i="60"/>
  <c r="R74" i="60" s="1"/>
  <c r="L75" i="60"/>
  <c r="L74" i="60" s="1"/>
  <c r="J75" i="60"/>
  <c r="J74" i="60" s="1"/>
  <c r="D75" i="60"/>
  <c r="I73" i="60"/>
  <c r="I72" i="60"/>
  <c r="V71" i="60"/>
  <c r="U71" i="60"/>
  <c r="T71" i="60"/>
  <c r="S71" i="60"/>
  <c r="R71" i="60"/>
  <c r="Q71" i="60"/>
  <c r="P71" i="60"/>
  <c r="O71" i="60"/>
  <c r="N71" i="60"/>
  <c r="M71" i="60"/>
  <c r="L71" i="60"/>
  <c r="K71" i="60"/>
  <c r="J71" i="60"/>
  <c r="I71" i="60"/>
  <c r="H71" i="60"/>
  <c r="G71" i="60"/>
  <c r="F71" i="60"/>
  <c r="E71" i="60"/>
  <c r="I70" i="60"/>
  <c r="I69" i="60"/>
  <c r="I68" i="60"/>
  <c r="V67" i="60"/>
  <c r="U67" i="60"/>
  <c r="T67" i="60"/>
  <c r="S67" i="60"/>
  <c r="R67" i="60"/>
  <c r="Q67" i="60"/>
  <c r="P67" i="60"/>
  <c r="O67" i="60"/>
  <c r="N67" i="60"/>
  <c r="M67" i="60"/>
  <c r="L67" i="60"/>
  <c r="K67" i="60"/>
  <c r="J67" i="60"/>
  <c r="I67" i="60"/>
  <c r="H67" i="60"/>
  <c r="G67" i="60"/>
  <c r="F67" i="60"/>
  <c r="E67" i="60"/>
  <c r="D67" i="60"/>
  <c r="I66" i="60"/>
  <c r="V65" i="60"/>
  <c r="U65" i="60"/>
  <c r="T65" i="60"/>
  <c r="S65" i="60"/>
  <c r="R65" i="60"/>
  <c r="Q65" i="60"/>
  <c r="P65" i="60"/>
  <c r="O65" i="60"/>
  <c r="N65" i="60"/>
  <c r="M65" i="60"/>
  <c r="L65" i="60"/>
  <c r="K65" i="60"/>
  <c r="J65" i="60"/>
  <c r="H65" i="60"/>
  <c r="G65" i="60"/>
  <c r="F65" i="60"/>
  <c r="D65" i="60"/>
  <c r="I65" i="60" s="1"/>
  <c r="I64" i="60"/>
  <c r="I63" i="60"/>
  <c r="I62" i="60"/>
  <c r="I61" i="60"/>
  <c r="I60" i="60"/>
  <c r="I59" i="60"/>
  <c r="I57" i="60" s="1"/>
  <c r="I58" i="60"/>
  <c r="V57" i="60"/>
  <c r="U57" i="60"/>
  <c r="T57" i="60"/>
  <c r="S57" i="60"/>
  <c r="R57" i="60"/>
  <c r="Q57" i="60"/>
  <c r="P57" i="60"/>
  <c r="O57" i="60"/>
  <c r="N57" i="60"/>
  <c r="M57" i="60"/>
  <c r="L57" i="60"/>
  <c r="K57" i="60"/>
  <c r="J57" i="60"/>
  <c r="H57" i="60"/>
  <c r="G57" i="60"/>
  <c r="F57" i="60"/>
  <c r="E57" i="60"/>
  <c r="D57" i="60"/>
  <c r="I56" i="60"/>
  <c r="I55" i="60"/>
  <c r="V54" i="60"/>
  <c r="U54" i="60"/>
  <c r="U49" i="60" s="1"/>
  <c r="U30" i="60" s="1"/>
  <c r="T54" i="60"/>
  <c r="S54" i="60"/>
  <c r="S49" i="60" s="1"/>
  <c r="R54" i="60"/>
  <c r="Q54" i="60"/>
  <c r="P54" i="60"/>
  <c r="O54" i="60"/>
  <c r="N54" i="60"/>
  <c r="M54" i="60"/>
  <c r="M49" i="60" s="1"/>
  <c r="M30" i="60" s="1"/>
  <c r="L54" i="60"/>
  <c r="K54" i="60"/>
  <c r="K49" i="60" s="1"/>
  <c r="J54" i="60"/>
  <c r="I54" i="60"/>
  <c r="H54" i="60"/>
  <c r="G54" i="60"/>
  <c r="F54" i="60"/>
  <c r="E54" i="60"/>
  <c r="E49" i="60" s="1"/>
  <c r="E30" i="60" s="1"/>
  <c r="D54" i="60"/>
  <c r="I53" i="60"/>
  <c r="I50" i="60" s="1"/>
  <c r="I52" i="60"/>
  <c r="I51" i="60"/>
  <c r="V50" i="60"/>
  <c r="V49" i="60" s="1"/>
  <c r="U50" i="60"/>
  <c r="T50" i="60"/>
  <c r="S50" i="60"/>
  <c r="R50" i="60"/>
  <c r="Q50" i="60"/>
  <c r="Q49" i="60" s="1"/>
  <c r="P50" i="60"/>
  <c r="P49" i="60" s="1"/>
  <c r="O50" i="60"/>
  <c r="O49" i="60" s="1"/>
  <c r="O30" i="60" s="1"/>
  <c r="N50" i="60"/>
  <c r="N49" i="60" s="1"/>
  <c r="M50" i="60"/>
  <c r="L50" i="60"/>
  <c r="K50" i="60"/>
  <c r="J50" i="60"/>
  <c r="H50" i="60"/>
  <c r="H49" i="60" s="1"/>
  <c r="G50" i="60"/>
  <c r="G49" i="60" s="1"/>
  <c r="G30" i="60" s="1"/>
  <c r="F50" i="60"/>
  <c r="F49" i="60" s="1"/>
  <c r="E50" i="60"/>
  <c r="D50" i="60"/>
  <c r="T49" i="60"/>
  <c r="R49" i="60"/>
  <c r="L49" i="60"/>
  <c r="J49" i="60"/>
  <c r="D49" i="60"/>
  <c r="I48" i="60"/>
  <c r="I47" i="60"/>
  <c r="V46" i="60"/>
  <c r="V30" i="60" s="1"/>
  <c r="U46" i="60"/>
  <c r="T46" i="60"/>
  <c r="S46" i="60"/>
  <c r="R46" i="60"/>
  <c r="Q46" i="60"/>
  <c r="P46" i="60"/>
  <c r="O46" i="60"/>
  <c r="N46" i="60"/>
  <c r="N30" i="60" s="1"/>
  <c r="M46" i="60"/>
  <c r="L46" i="60"/>
  <c r="K46" i="60"/>
  <c r="J46" i="60"/>
  <c r="I46" i="60"/>
  <c r="H46" i="60"/>
  <c r="G46" i="60"/>
  <c r="F46" i="60"/>
  <c r="F30" i="60" s="1"/>
  <c r="E46" i="60"/>
  <c r="D46" i="60"/>
  <c r="I45" i="60"/>
  <c r="I44" i="60"/>
  <c r="I43" i="60"/>
  <c r="I42" i="60"/>
  <c r="I41" i="60"/>
  <c r="I40" i="60"/>
  <c r="I39" i="60"/>
  <c r="V38" i="60"/>
  <c r="U38" i="60"/>
  <c r="T38" i="60"/>
  <c r="S38" i="60"/>
  <c r="R38" i="60"/>
  <c r="Q38" i="60"/>
  <c r="P38" i="60"/>
  <c r="P30" i="60" s="1"/>
  <c r="P29" i="60" s="1"/>
  <c r="P260" i="60" s="1"/>
  <c r="O38" i="60"/>
  <c r="N38" i="60"/>
  <c r="M38" i="60"/>
  <c r="L38" i="60"/>
  <c r="K38" i="60"/>
  <c r="J38" i="60"/>
  <c r="I38" i="60"/>
  <c r="H38" i="60"/>
  <c r="H30" i="60" s="1"/>
  <c r="H29" i="60" s="1"/>
  <c r="H260" i="60" s="1"/>
  <c r="G38" i="60"/>
  <c r="F38" i="60"/>
  <c r="E38" i="60"/>
  <c r="D38" i="60"/>
  <c r="I37" i="60"/>
  <c r="I36" i="60"/>
  <c r="I35" i="60"/>
  <c r="I34" i="60"/>
  <c r="I33" i="60"/>
  <c r="I32" i="60"/>
  <c r="V31" i="60"/>
  <c r="U31" i="60"/>
  <c r="T31" i="60"/>
  <c r="T30" i="60" s="1"/>
  <c r="S31" i="60"/>
  <c r="S30" i="60" s="1"/>
  <c r="R31" i="60"/>
  <c r="R30" i="60" s="1"/>
  <c r="R29" i="60" s="1"/>
  <c r="R260" i="60" s="1"/>
  <c r="Q31" i="60"/>
  <c r="Q30" i="60" s="1"/>
  <c r="Q29" i="60" s="1"/>
  <c r="Q260" i="60" s="1"/>
  <c r="P31" i="60"/>
  <c r="O31" i="60"/>
  <c r="N31" i="60"/>
  <c r="M31" i="60"/>
  <c r="L31" i="60"/>
  <c r="L30" i="60" s="1"/>
  <c r="K31" i="60"/>
  <c r="K30" i="60" s="1"/>
  <c r="J31" i="60"/>
  <c r="J30" i="60" s="1"/>
  <c r="J29" i="60" s="1"/>
  <c r="J260" i="60" s="1"/>
  <c r="H31" i="60"/>
  <c r="G31" i="60"/>
  <c r="F31" i="60"/>
  <c r="E31" i="60"/>
  <c r="D31" i="60"/>
  <c r="I31" i="60" s="1"/>
  <c r="G28" i="60"/>
  <c r="E28" i="60"/>
  <c r="I27" i="60"/>
  <c r="I26" i="60"/>
  <c r="I25" i="60"/>
  <c r="V24" i="60"/>
  <c r="U24" i="60"/>
  <c r="T24" i="60"/>
  <c r="S24" i="60"/>
  <c r="R24" i="60"/>
  <c r="Q24" i="60"/>
  <c r="P24" i="60"/>
  <c r="O24" i="60"/>
  <c r="N24" i="60"/>
  <c r="M24" i="60"/>
  <c r="L24" i="60"/>
  <c r="K24" i="60"/>
  <c r="J24" i="60"/>
  <c r="I24" i="60"/>
  <c r="F24" i="60"/>
  <c r="E24" i="60"/>
  <c r="D24" i="60"/>
  <c r="I23" i="60"/>
  <c r="I22" i="60"/>
  <c r="V21" i="60"/>
  <c r="U21" i="60"/>
  <c r="T21" i="60"/>
  <c r="S21" i="60"/>
  <c r="R21" i="60"/>
  <c r="Q21" i="60"/>
  <c r="P21" i="60"/>
  <c r="O21" i="60"/>
  <c r="N21" i="60"/>
  <c r="M21" i="60"/>
  <c r="L21" i="60"/>
  <c r="K21" i="60"/>
  <c r="J21" i="60"/>
  <c r="I21" i="60"/>
  <c r="V20" i="60"/>
  <c r="U20" i="60"/>
  <c r="T20" i="60"/>
  <c r="S20" i="60"/>
  <c r="R20" i="60"/>
  <c r="Q20" i="60"/>
  <c r="P20" i="60"/>
  <c r="O20" i="60"/>
  <c r="N20" i="60"/>
  <c r="M20" i="60"/>
  <c r="L20" i="60"/>
  <c r="K20" i="60"/>
  <c r="J20" i="60"/>
  <c r="I20" i="60"/>
  <c r="V19" i="60"/>
  <c r="U19" i="60"/>
  <c r="T19" i="60"/>
  <c r="S19" i="60"/>
  <c r="R19" i="60"/>
  <c r="Q19" i="60"/>
  <c r="P19" i="60"/>
  <c r="O19" i="60"/>
  <c r="N19" i="60"/>
  <c r="M19" i="60"/>
  <c r="L19" i="60"/>
  <c r="K19" i="60"/>
  <c r="J19" i="60"/>
  <c r="I19" i="60"/>
  <c r="V18" i="60"/>
  <c r="U18" i="60"/>
  <c r="T18" i="60"/>
  <c r="S18" i="60"/>
  <c r="R18" i="60"/>
  <c r="Q18" i="60"/>
  <c r="P18" i="60"/>
  <c r="O18" i="60"/>
  <c r="N18" i="60"/>
  <c r="M18" i="60"/>
  <c r="L18" i="60"/>
  <c r="K18" i="60"/>
  <c r="J18" i="60"/>
  <c r="I18" i="60"/>
  <c r="V17" i="60"/>
  <c r="U17" i="60"/>
  <c r="T17" i="60"/>
  <c r="S17" i="60"/>
  <c r="R17" i="60"/>
  <c r="Q17" i="60"/>
  <c r="P17" i="60"/>
  <c r="O17" i="60"/>
  <c r="N17" i="60"/>
  <c r="M17" i="60"/>
  <c r="L17" i="60"/>
  <c r="K17" i="60"/>
  <c r="J17" i="60"/>
  <c r="I17" i="60"/>
  <c r="V16" i="60"/>
  <c r="U16" i="60"/>
  <c r="T16" i="60"/>
  <c r="T12" i="60" s="1"/>
  <c r="T11" i="60" s="1"/>
  <c r="T10" i="60" s="1"/>
  <c r="T9" i="60" s="1"/>
  <c r="T28" i="60" s="1"/>
  <c r="S16" i="60"/>
  <c r="R16" i="60"/>
  <c r="Q16" i="60"/>
  <c r="P16" i="60"/>
  <c r="O16" i="60"/>
  <c r="N16" i="60"/>
  <c r="M16" i="60"/>
  <c r="L16" i="60"/>
  <c r="K16" i="60"/>
  <c r="J16" i="60"/>
  <c r="I16" i="60"/>
  <c r="V15" i="60"/>
  <c r="U15" i="60"/>
  <c r="T15" i="60"/>
  <c r="S15" i="60"/>
  <c r="R15" i="60"/>
  <c r="R12" i="60" s="1"/>
  <c r="R11" i="60" s="1"/>
  <c r="R10" i="60" s="1"/>
  <c r="R9" i="60" s="1"/>
  <c r="R28" i="60" s="1"/>
  <c r="Q15" i="60"/>
  <c r="P15" i="60"/>
  <c r="O15" i="60"/>
  <c r="N15" i="60"/>
  <c r="M15" i="60"/>
  <c r="L15" i="60"/>
  <c r="K15" i="60"/>
  <c r="J15" i="60"/>
  <c r="J12" i="60" s="1"/>
  <c r="J11" i="60" s="1"/>
  <c r="J10" i="60" s="1"/>
  <c r="J9" i="60" s="1"/>
  <c r="J28" i="60" s="1"/>
  <c r="I15" i="60"/>
  <c r="I14" i="60"/>
  <c r="V13" i="60"/>
  <c r="V12" i="60" s="1"/>
  <c r="V11" i="60" s="1"/>
  <c r="V10" i="60" s="1"/>
  <c r="V9" i="60" s="1"/>
  <c r="U13" i="60"/>
  <c r="T13" i="60"/>
  <c r="S13" i="60"/>
  <c r="S12" i="60" s="1"/>
  <c r="S11" i="60" s="1"/>
  <c r="S10" i="60" s="1"/>
  <c r="S9" i="60" s="1"/>
  <c r="R13" i="60"/>
  <c r="Q13" i="60"/>
  <c r="Q12" i="60" s="1"/>
  <c r="Q11" i="60" s="1"/>
  <c r="Q10" i="60" s="1"/>
  <c r="Q9" i="60" s="1"/>
  <c r="P13" i="60"/>
  <c r="P12" i="60" s="1"/>
  <c r="P11" i="60" s="1"/>
  <c r="P10" i="60" s="1"/>
  <c r="P9" i="60" s="1"/>
  <c r="O13" i="60"/>
  <c r="N13" i="60"/>
  <c r="N12" i="60" s="1"/>
  <c r="N11" i="60" s="1"/>
  <c r="N10" i="60" s="1"/>
  <c r="N9" i="60" s="1"/>
  <c r="M13" i="60"/>
  <c r="L13" i="60"/>
  <c r="K13" i="60"/>
  <c r="K12" i="60" s="1"/>
  <c r="K11" i="60" s="1"/>
  <c r="K10" i="60" s="1"/>
  <c r="K9" i="60" s="1"/>
  <c r="J13" i="60"/>
  <c r="I13" i="60"/>
  <c r="U12" i="60"/>
  <c r="U11" i="60" s="1"/>
  <c r="U10" i="60" s="1"/>
  <c r="U9" i="60" s="1"/>
  <c r="U28" i="60" s="1"/>
  <c r="O12" i="60"/>
  <c r="O11" i="60" s="1"/>
  <c r="O10" i="60" s="1"/>
  <c r="O9" i="60" s="1"/>
  <c r="O28" i="60" s="1"/>
  <c r="M12" i="60"/>
  <c r="M11" i="60" s="1"/>
  <c r="M10" i="60" s="1"/>
  <c r="M9" i="60" s="1"/>
  <c r="M28" i="60" s="1"/>
  <c r="L12" i="60"/>
  <c r="I12" i="60"/>
  <c r="D12" i="60"/>
  <c r="L11" i="60"/>
  <c r="L10" i="60" s="1"/>
  <c r="L9" i="60" s="1"/>
  <c r="L28" i="60" s="1"/>
  <c r="D11" i="60"/>
  <c r="I11" i="60" s="1"/>
  <c r="H9" i="60"/>
  <c r="H28" i="60" s="1"/>
  <c r="G9" i="60"/>
  <c r="F9" i="60"/>
  <c r="E9" i="60"/>
  <c r="I8" i="60"/>
  <c r="I7" i="60"/>
  <c r="D7" i="60"/>
  <c r="D5" i="60" s="1"/>
  <c r="I6" i="60"/>
  <c r="V5" i="60"/>
  <c r="U5" i="60"/>
  <c r="T5" i="60"/>
  <c r="S5" i="60"/>
  <c r="R5" i="60"/>
  <c r="Q5" i="60"/>
  <c r="P5" i="60"/>
  <c r="O5" i="60"/>
  <c r="N5" i="60"/>
  <c r="M5" i="60"/>
  <c r="L5" i="60"/>
  <c r="K5" i="60"/>
  <c r="J5" i="60"/>
  <c r="F5" i="60"/>
  <c r="F28" i="60" s="1"/>
  <c r="E5" i="60"/>
  <c r="L259" i="59"/>
  <c r="L258" i="59"/>
  <c r="L257" i="59"/>
  <c r="L256" i="59"/>
  <c r="L255" i="59"/>
  <c r="L254" i="59"/>
  <c r="L253" i="59"/>
  <c r="L252" i="59"/>
  <c r="L251" i="59"/>
  <c r="L250" i="59"/>
  <c r="L249" i="59"/>
  <c r="L248" i="59"/>
  <c r="L247" i="59"/>
  <c r="L246" i="59"/>
  <c r="L245" i="59"/>
  <c r="L244" i="59"/>
  <c r="L243" i="59"/>
  <c r="L242" i="59"/>
  <c r="L241" i="59"/>
  <c r="L240" i="59"/>
  <c r="L239" i="59"/>
  <c r="L238" i="59"/>
  <c r="L237" i="59"/>
  <c r="L236" i="59"/>
  <c r="L235" i="59"/>
  <c r="L234" i="59"/>
  <c r="L233" i="59"/>
  <c r="L232" i="59"/>
  <c r="L231" i="59"/>
  <c r="L230" i="59"/>
  <c r="L229" i="59"/>
  <c r="L228" i="59"/>
  <c r="L227" i="59"/>
  <c r="L226" i="59"/>
  <c r="L225" i="59"/>
  <c r="L224" i="59"/>
  <c r="L223" i="59"/>
  <c r="L222" i="59"/>
  <c r="L221" i="59"/>
  <c r="L220" i="59"/>
  <c r="L219" i="59"/>
  <c r="L218" i="59"/>
  <c r="L217" i="59"/>
  <c r="L216" i="59"/>
  <c r="L215" i="59"/>
  <c r="L214" i="59"/>
  <c r="L213" i="59"/>
  <c r="L212" i="59"/>
  <c r="L211" i="59"/>
  <c r="L210" i="59"/>
  <c r="L209" i="59"/>
  <c r="L208" i="59"/>
  <c r="L207" i="59"/>
  <c r="L206" i="59"/>
  <c r="L205" i="59"/>
  <c r="L204" i="59"/>
  <c r="L203" i="59"/>
  <c r="L202" i="59"/>
  <c r="L201" i="59"/>
  <c r="L200" i="59"/>
  <c r="L199" i="59"/>
  <c r="L198" i="59"/>
  <c r="L197" i="59"/>
  <c r="L196" i="59"/>
  <c r="L195" i="59"/>
  <c r="L194" i="59"/>
  <c r="L193" i="59"/>
  <c r="L192" i="59"/>
  <c r="L191" i="59"/>
  <c r="L190" i="59"/>
  <c r="L189" i="59"/>
  <c r="L188" i="59"/>
  <c r="L187" i="59"/>
  <c r="L186" i="59"/>
  <c r="L185" i="59"/>
  <c r="L184" i="59"/>
  <c r="L183" i="59"/>
  <c r="L182" i="59"/>
  <c r="L181" i="59"/>
  <c r="L180" i="59"/>
  <c r="L179" i="59"/>
  <c r="L178" i="59"/>
  <c r="L177" i="59"/>
  <c r="L176" i="59"/>
  <c r="L175" i="59"/>
  <c r="L174" i="59"/>
  <c r="L173" i="59"/>
  <c r="L172" i="59"/>
  <c r="L171" i="59"/>
  <c r="L170" i="59"/>
  <c r="L169" i="59"/>
  <c r="L168" i="59"/>
  <c r="L167" i="59"/>
  <c r="L166" i="59"/>
  <c r="L165" i="59"/>
  <c r="L164" i="59"/>
  <c r="L163" i="59"/>
  <c r="L162" i="59"/>
  <c r="L161" i="59"/>
  <c r="L160" i="59"/>
  <c r="L159" i="59"/>
  <c r="L158" i="59"/>
  <c r="L157" i="59"/>
  <c r="L156" i="59"/>
  <c r="L155" i="59"/>
  <c r="L154" i="59"/>
  <c r="L153" i="59"/>
  <c r="L152" i="59"/>
  <c r="L151" i="59"/>
  <c r="L150" i="59"/>
  <c r="L149" i="59"/>
  <c r="L148" i="59"/>
  <c r="L147" i="59"/>
  <c r="L146" i="59"/>
  <c r="L145" i="59"/>
  <c r="L144" i="59"/>
  <c r="L143" i="59"/>
  <c r="L142" i="59"/>
  <c r="L141" i="59"/>
  <c r="L140" i="59"/>
  <c r="L139" i="59"/>
  <c r="L138" i="59"/>
  <c r="L137" i="59"/>
  <c r="L136" i="59"/>
  <c r="L135" i="59"/>
  <c r="L134" i="59"/>
  <c r="L133" i="59"/>
  <c r="L132" i="59"/>
  <c r="L131" i="59"/>
  <c r="L130" i="59"/>
  <c r="L129" i="59"/>
  <c r="L128" i="59"/>
  <c r="L127" i="59"/>
  <c r="L126" i="59"/>
  <c r="L125" i="59"/>
  <c r="L124" i="59"/>
  <c r="L123" i="59"/>
  <c r="L122" i="59"/>
  <c r="L121" i="59"/>
  <c r="L120" i="59"/>
  <c r="L119" i="59"/>
  <c r="L118" i="59"/>
  <c r="L117" i="59"/>
  <c r="L116" i="59"/>
  <c r="L115" i="59"/>
  <c r="L114" i="59"/>
  <c r="L113" i="59"/>
  <c r="L112" i="59"/>
  <c r="L111" i="59"/>
  <c r="L110" i="59"/>
  <c r="L109" i="59"/>
  <c r="L108" i="59"/>
  <c r="L107" i="59"/>
  <c r="L106" i="59"/>
  <c r="L105" i="59"/>
  <c r="L104" i="59"/>
  <c r="L103" i="59"/>
  <c r="L102" i="59"/>
  <c r="L101" i="59"/>
  <c r="L100" i="59"/>
  <c r="L99" i="59"/>
  <c r="L98" i="59"/>
  <c r="L97" i="59"/>
  <c r="L96" i="59"/>
  <c r="L95" i="59"/>
  <c r="L94" i="59"/>
  <c r="L93" i="59"/>
  <c r="L92" i="59"/>
  <c r="L91" i="59"/>
  <c r="L90" i="59"/>
  <c r="L89" i="59"/>
  <c r="L88" i="59"/>
  <c r="L87" i="59"/>
  <c r="L86" i="59"/>
  <c r="L85" i="59"/>
  <c r="L84" i="59"/>
  <c r="L83" i="59"/>
  <c r="L82" i="59"/>
  <c r="L81" i="59"/>
  <c r="L80" i="59"/>
  <c r="L79" i="59"/>
  <c r="L78" i="59"/>
  <c r="L77" i="59"/>
  <c r="L76" i="59"/>
  <c r="L75" i="59"/>
  <c r="L74" i="59"/>
  <c r="L73" i="59"/>
  <c r="L72" i="59"/>
  <c r="L71" i="59"/>
  <c r="L70" i="59"/>
  <c r="L69" i="59"/>
  <c r="L68" i="59"/>
  <c r="L67" i="59"/>
  <c r="L66" i="59"/>
  <c r="L65" i="59"/>
  <c r="L64" i="59"/>
  <c r="L63" i="59"/>
  <c r="L62" i="59"/>
  <c r="L61" i="59"/>
  <c r="L60" i="59"/>
  <c r="L59" i="59"/>
  <c r="L58" i="59"/>
  <c r="L57" i="59"/>
  <c r="L56" i="59"/>
  <c r="L55" i="59"/>
  <c r="L54" i="59"/>
  <c r="L53" i="59"/>
  <c r="L52" i="59"/>
  <c r="L51" i="59"/>
  <c r="L50" i="59"/>
  <c r="L49" i="59"/>
  <c r="L48" i="59"/>
  <c r="L47" i="59"/>
  <c r="L46" i="59"/>
  <c r="L45" i="59"/>
  <c r="L44" i="59"/>
  <c r="L43" i="59"/>
  <c r="L42" i="59"/>
  <c r="L41" i="59"/>
  <c r="L40" i="59"/>
  <c r="L39" i="59"/>
  <c r="L38" i="59"/>
  <c r="L37" i="59"/>
  <c r="L36" i="59"/>
  <c r="L35" i="59"/>
  <c r="L34" i="59"/>
  <c r="L33" i="59"/>
  <c r="L32" i="59"/>
  <c r="L31" i="59"/>
  <c r="L30" i="59"/>
  <c r="L29" i="59"/>
  <c r="L28" i="59"/>
  <c r="L27" i="59"/>
  <c r="L26" i="59"/>
  <c r="L25" i="59"/>
  <c r="L24" i="59"/>
  <c r="L23" i="59"/>
  <c r="L22" i="59"/>
  <c r="L21" i="59"/>
  <c r="L20" i="59"/>
  <c r="L19" i="59"/>
  <c r="L18" i="59"/>
  <c r="L17" i="59"/>
  <c r="L16" i="59"/>
  <c r="L15" i="59"/>
  <c r="L14" i="59"/>
  <c r="L13" i="59"/>
  <c r="L12" i="59"/>
  <c r="L11" i="59"/>
  <c r="L10" i="59"/>
  <c r="L9" i="59"/>
  <c r="L8" i="59"/>
  <c r="L7" i="59"/>
  <c r="I259" i="59"/>
  <c r="I258" i="59"/>
  <c r="I257" i="59"/>
  <c r="I256" i="59"/>
  <c r="I255" i="59"/>
  <c r="I254" i="59"/>
  <c r="I253" i="59"/>
  <c r="I252" i="59"/>
  <c r="I251" i="59"/>
  <c r="I250" i="59"/>
  <c r="I249" i="59" s="1"/>
  <c r="V249" i="59"/>
  <c r="K249" i="59"/>
  <c r="J249" i="59"/>
  <c r="H249" i="59"/>
  <c r="G249" i="59"/>
  <c r="F249" i="59"/>
  <c r="E249" i="59"/>
  <c r="D249" i="59"/>
  <c r="I248" i="59"/>
  <c r="V247" i="59"/>
  <c r="K247" i="59"/>
  <c r="K246" i="59" s="1"/>
  <c r="J247" i="59"/>
  <c r="J246" i="59" s="1"/>
  <c r="I247" i="59"/>
  <c r="H247" i="59"/>
  <c r="G247" i="59"/>
  <c r="F247" i="59"/>
  <c r="E247" i="59"/>
  <c r="D247" i="59"/>
  <c r="V246" i="59"/>
  <c r="D246" i="59"/>
  <c r="I245" i="59"/>
  <c r="W245" i="59" s="1"/>
  <c r="I244" i="59"/>
  <c r="W244" i="59" s="1"/>
  <c r="I243" i="59"/>
  <c r="W243" i="59" s="1"/>
  <c r="I242" i="59"/>
  <c r="W242" i="59" s="1"/>
  <c r="I241" i="59"/>
  <c r="W241" i="59" s="1"/>
  <c r="I240" i="59"/>
  <c r="W240" i="59" s="1"/>
  <c r="I239" i="59"/>
  <c r="W239" i="59" s="1"/>
  <c r="I238" i="59"/>
  <c r="W238" i="59" s="1"/>
  <c r="I237" i="59"/>
  <c r="W237" i="59" s="1"/>
  <c r="I236" i="59"/>
  <c r="W236" i="59" s="1"/>
  <c r="I235" i="59"/>
  <c r="W235" i="59" s="1"/>
  <c r="I234" i="59"/>
  <c r="W234" i="59" s="1"/>
  <c r="I233" i="59"/>
  <c r="W233" i="59" s="1"/>
  <c r="I232" i="59"/>
  <c r="W232" i="59" s="1"/>
  <c r="I231" i="59"/>
  <c r="W231" i="59" s="1"/>
  <c r="I230" i="59"/>
  <c r="W230" i="59" s="1"/>
  <c r="I229" i="59"/>
  <c r="W229" i="59" s="1"/>
  <c r="I228" i="59"/>
  <c r="W228" i="59" s="1"/>
  <c r="I227" i="59"/>
  <c r="W227" i="59" s="1"/>
  <c r="I226" i="59"/>
  <c r="W226" i="59" s="1"/>
  <c r="I225" i="59"/>
  <c r="W225" i="59" s="1"/>
  <c r="I224" i="59"/>
  <c r="W224" i="59" s="1"/>
  <c r="I223" i="59"/>
  <c r="W223" i="59" s="1"/>
  <c r="I222" i="59"/>
  <c r="W222" i="59" s="1"/>
  <c r="I221" i="59"/>
  <c r="W221" i="59" s="1"/>
  <c r="I220" i="59"/>
  <c r="W220" i="59" s="1"/>
  <c r="I219" i="59"/>
  <c r="W219" i="59" s="1"/>
  <c r="I218" i="59"/>
  <c r="W218" i="59" s="1"/>
  <c r="I217" i="59"/>
  <c r="W217" i="59" s="1"/>
  <c r="I216" i="59"/>
  <c r="W216" i="59" s="1"/>
  <c r="I215" i="59"/>
  <c r="W215" i="59" s="1"/>
  <c r="I214" i="59"/>
  <c r="W214" i="59" s="1"/>
  <c r="I213" i="59"/>
  <c r="W213" i="59" s="1"/>
  <c r="I212" i="59"/>
  <c r="W212" i="59" s="1"/>
  <c r="I211" i="59"/>
  <c r="W211" i="59" s="1"/>
  <c r="I210" i="59"/>
  <c r="W209" i="59"/>
  <c r="I209" i="59"/>
  <c r="W208" i="59"/>
  <c r="I208" i="59"/>
  <c r="W207" i="59"/>
  <c r="I207" i="59"/>
  <c r="I206" i="59"/>
  <c r="W206" i="59" s="1"/>
  <c r="W205" i="59"/>
  <c r="I205" i="59"/>
  <c r="W204" i="59"/>
  <c r="I204" i="59"/>
  <c r="W203" i="59"/>
  <c r="I203" i="59"/>
  <c r="I202" i="59"/>
  <c r="W202" i="59" s="1"/>
  <c r="W201" i="59"/>
  <c r="I201" i="59"/>
  <c r="W200" i="59"/>
  <c r="I200" i="59"/>
  <c r="W199" i="59"/>
  <c r="I199" i="59"/>
  <c r="I198" i="59"/>
  <c r="W198" i="59" s="1"/>
  <c r="W197" i="59"/>
  <c r="I197" i="59"/>
  <c r="W196" i="59"/>
  <c r="I196" i="59"/>
  <c r="W195" i="59"/>
  <c r="I195" i="59"/>
  <c r="I194" i="59"/>
  <c r="W194" i="59" s="1"/>
  <c r="W193" i="59"/>
  <c r="I193" i="59"/>
  <c r="W192" i="59"/>
  <c r="I192" i="59"/>
  <c r="W191" i="59"/>
  <c r="I191" i="59"/>
  <c r="I190" i="59"/>
  <c r="W190" i="59" s="1"/>
  <c r="W189" i="59"/>
  <c r="I189" i="59"/>
  <c r="W188" i="59"/>
  <c r="I188" i="59"/>
  <c r="W187" i="59"/>
  <c r="I187" i="59"/>
  <c r="I186" i="59"/>
  <c r="W186" i="59" s="1"/>
  <c r="W185" i="59"/>
  <c r="I185" i="59"/>
  <c r="W184" i="59"/>
  <c r="I184" i="59"/>
  <c r="W183" i="59"/>
  <c r="I183" i="59"/>
  <c r="I182" i="59"/>
  <c r="W182" i="59" s="1"/>
  <c r="W181" i="59"/>
  <c r="I181" i="59"/>
  <c r="W180" i="59"/>
  <c r="I180" i="59"/>
  <c r="W179" i="59"/>
  <c r="I179" i="59"/>
  <c r="I178" i="59"/>
  <c r="W178" i="59" s="1"/>
  <c r="W177" i="59"/>
  <c r="I177" i="59"/>
  <c r="W176" i="59"/>
  <c r="I176" i="59"/>
  <c r="W175" i="59"/>
  <c r="I175" i="59"/>
  <c r="I174" i="59"/>
  <c r="W174" i="59" s="1"/>
  <c r="W173" i="59"/>
  <c r="I173" i="59"/>
  <c r="W172" i="59"/>
  <c r="I172" i="59"/>
  <c r="W171" i="59"/>
  <c r="I171" i="59"/>
  <c r="I170" i="59"/>
  <c r="W170" i="59" s="1"/>
  <c r="W169" i="59"/>
  <c r="I169" i="59"/>
  <c r="W168" i="59"/>
  <c r="I168" i="59"/>
  <c r="W167" i="59"/>
  <c r="I167" i="59"/>
  <c r="I166" i="59"/>
  <c r="W166" i="59" s="1"/>
  <c r="W165" i="59"/>
  <c r="I165" i="59"/>
  <c r="W164" i="59"/>
  <c r="I164" i="59"/>
  <c r="W163" i="59"/>
  <c r="I163" i="59"/>
  <c r="I162" i="59"/>
  <c r="W162" i="59" s="1"/>
  <c r="W161" i="59"/>
  <c r="I161" i="59"/>
  <c r="W160" i="59"/>
  <c r="I160" i="59"/>
  <c r="W159" i="59"/>
  <c r="I159" i="59"/>
  <c r="I158" i="59"/>
  <c r="W158" i="59" s="1"/>
  <c r="W157" i="59"/>
  <c r="I157" i="59"/>
  <c r="W156" i="59"/>
  <c r="I156" i="59"/>
  <c r="W155" i="59"/>
  <c r="I155" i="59"/>
  <c r="I154" i="59"/>
  <c r="W154" i="59" s="1"/>
  <c r="W153" i="59"/>
  <c r="I153" i="59"/>
  <c r="W152" i="59"/>
  <c r="I152" i="59"/>
  <c r="W151" i="59"/>
  <c r="I151" i="59"/>
  <c r="I150" i="59"/>
  <c r="W150" i="59" s="1"/>
  <c r="W149" i="59"/>
  <c r="I149" i="59"/>
  <c r="W148" i="59"/>
  <c r="I148" i="59"/>
  <c r="W147" i="59"/>
  <c r="I147" i="59"/>
  <c r="I146" i="59"/>
  <c r="W146" i="59" s="1"/>
  <c r="W145" i="59"/>
  <c r="I145" i="59"/>
  <c r="W144" i="59"/>
  <c r="I144" i="59"/>
  <c r="W143" i="59"/>
  <c r="I143" i="59"/>
  <c r="I142" i="59"/>
  <c r="W142" i="59" s="1"/>
  <c r="W141" i="59"/>
  <c r="I141" i="59"/>
  <c r="W140" i="59"/>
  <c r="I140" i="59"/>
  <c r="W139" i="59"/>
  <c r="I139" i="59"/>
  <c r="I138" i="59"/>
  <c r="W138" i="59" s="1"/>
  <c r="W137" i="59"/>
  <c r="I137" i="59"/>
  <c r="W136" i="59"/>
  <c r="I136" i="59"/>
  <c r="W135" i="59"/>
  <c r="I135" i="59"/>
  <c r="I134" i="59"/>
  <c r="W134" i="59" s="1"/>
  <c r="W133" i="59"/>
  <c r="I133" i="59"/>
  <c r="W132" i="59"/>
  <c r="I132" i="59"/>
  <c r="W131" i="59"/>
  <c r="I131" i="59"/>
  <c r="I130" i="59"/>
  <c r="W130" i="59" s="1"/>
  <c r="W129" i="59"/>
  <c r="I129" i="59"/>
  <c r="W128" i="59"/>
  <c r="I128" i="59"/>
  <c r="W127" i="59"/>
  <c r="I127" i="59"/>
  <c r="I126" i="59"/>
  <c r="W126" i="59" s="1"/>
  <c r="W125" i="59"/>
  <c r="I125" i="59"/>
  <c r="W124" i="59"/>
  <c r="I124" i="59"/>
  <c r="V123" i="59"/>
  <c r="K123" i="59"/>
  <c r="J123" i="59"/>
  <c r="I123" i="59"/>
  <c r="W123" i="59" s="1"/>
  <c r="H123" i="59"/>
  <c r="G123" i="59"/>
  <c r="F123" i="59"/>
  <c r="E123" i="59"/>
  <c r="D123" i="59"/>
  <c r="D113" i="59" s="1"/>
  <c r="I122" i="59"/>
  <c r="I121" i="59"/>
  <c r="I120" i="59"/>
  <c r="I119" i="59"/>
  <c r="I118" i="59"/>
  <c r="I117" i="59"/>
  <c r="I116" i="59"/>
  <c r="I115" i="59"/>
  <c r="V114" i="59"/>
  <c r="V113" i="59" s="1"/>
  <c r="K114" i="59"/>
  <c r="J114" i="59"/>
  <c r="J113" i="59" s="1"/>
  <c r="I114" i="59"/>
  <c r="D114" i="59"/>
  <c r="K113" i="59"/>
  <c r="H113" i="59"/>
  <c r="G113" i="59"/>
  <c r="F113" i="59"/>
  <c r="E113" i="59"/>
  <c r="I112" i="59"/>
  <c r="V111" i="59"/>
  <c r="V110" i="59" s="1"/>
  <c r="K111" i="59"/>
  <c r="J111" i="59"/>
  <c r="H111" i="59"/>
  <c r="G111" i="59"/>
  <c r="G110" i="59" s="1"/>
  <c r="G108" i="59" s="1"/>
  <c r="G107" i="59" s="1"/>
  <c r="G106" i="59" s="1"/>
  <c r="F111" i="59"/>
  <c r="F110" i="59" s="1"/>
  <c r="F108" i="59" s="1"/>
  <c r="F107" i="59" s="1"/>
  <c r="F106" i="59" s="1"/>
  <c r="E111" i="59"/>
  <c r="E110" i="59" s="1"/>
  <c r="E108" i="59" s="1"/>
  <c r="D111" i="59"/>
  <c r="K110" i="59"/>
  <c r="J110" i="59"/>
  <c r="H110" i="59"/>
  <c r="H108" i="59" s="1"/>
  <c r="H107" i="59" s="1"/>
  <c r="H106" i="59" s="1"/>
  <c r="D110" i="59"/>
  <c r="I110" i="59" s="1"/>
  <c r="I109" i="59"/>
  <c r="V107" i="59"/>
  <c r="K107" i="59"/>
  <c r="J107" i="59"/>
  <c r="D107" i="59"/>
  <c r="D106" i="59"/>
  <c r="I105" i="59"/>
  <c r="V104" i="59"/>
  <c r="K104" i="59"/>
  <c r="J104" i="59"/>
  <c r="H104" i="59"/>
  <c r="G104" i="59"/>
  <c r="F104" i="59"/>
  <c r="E104" i="59"/>
  <c r="E97" i="59" s="1"/>
  <c r="D104" i="59"/>
  <c r="I104" i="59" s="1"/>
  <c r="I103" i="59"/>
  <c r="V102" i="59"/>
  <c r="K102" i="59"/>
  <c r="J102" i="59"/>
  <c r="I102" i="59"/>
  <c r="H102" i="59"/>
  <c r="G102" i="59"/>
  <c r="F102" i="59"/>
  <c r="E102" i="59"/>
  <c r="D102" i="59"/>
  <c r="I101" i="59"/>
  <c r="I100" i="59"/>
  <c r="X99" i="59"/>
  <c r="X100" i="59" s="1"/>
  <c r="I99" i="59"/>
  <c r="V98" i="59"/>
  <c r="K98" i="59"/>
  <c r="K97" i="59" s="1"/>
  <c r="J98" i="59"/>
  <c r="I98" i="59"/>
  <c r="H98" i="59"/>
  <c r="H97" i="59" s="1"/>
  <c r="G98" i="59"/>
  <c r="G97" i="59" s="1"/>
  <c r="F98" i="59"/>
  <c r="E98" i="59"/>
  <c r="D98" i="59"/>
  <c r="V97" i="59"/>
  <c r="J97" i="59"/>
  <c r="F97" i="59"/>
  <c r="D97" i="59"/>
  <c r="I97" i="59" s="1"/>
  <c r="I96" i="59"/>
  <c r="I95" i="59"/>
  <c r="V94" i="59"/>
  <c r="K94" i="59"/>
  <c r="J94" i="59"/>
  <c r="I94" i="59"/>
  <c r="H94" i="59"/>
  <c r="G94" i="59"/>
  <c r="F94" i="59"/>
  <c r="E94" i="59"/>
  <c r="D94" i="59"/>
  <c r="I93" i="59"/>
  <c r="I92" i="59"/>
  <c r="V91" i="59"/>
  <c r="V90" i="59" s="1"/>
  <c r="K91" i="59"/>
  <c r="J91" i="59"/>
  <c r="H91" i="59"/>
  <c r="H90" i="59" s="1"/>
  <c r="G91" i="59"/>
  <c r="F91" i="59"/>
  <c r="F90" i="59" s="1"/>
  <c r="F87" i="59" s="1"/>
  <c r="F84" i="59" s="1"/>
  <c r="F81" i="59" s="1"/>
  <c r="F75" i="59" s="1"/>
  <c r="F74" i="59" s="1"/>
  <c r="E91" i="59"/>
  <c r="E90" i="59" s="1"/>
  <c r="E87" i="59" s="1"/>
  <c r="E84" i="59" s="1"/>
  <c r="D91" i="59"/>
  <c r="I91" i="59" s="1"/>
  <c r="K90" i="59"/>
  <c r="J90" i="59"/>
  <c r="G90" i="59"/>
  <c r="G87" i="59" s="1"/>
  <c r="G84" i="59" s="1"/>
  <c r="G81" i="59" s="1"/>
  <c r="I89" i="59"/>
  <c r="I88" i="59"/>
  <c r="V87" i="59"/>
  <c r="K87" i="59"/>
  <c r="J87" i="59"/>
  <c r="D87" i="59"/>
  <c r="I86" i="59"/>
  <c r="I85" i="59"/>
  <c r="V84" i="59"/>
  <c r="K84" i="59"/>
  <c r="J84" i="59"/>
  <c r="D84" i="59"/>
  <c r="I83" i="59"/>
  <c r="I82" i="59"/>
  <c r="V81" i="59"/>
  <c r="V75" i="59" s="1"/>
  <c r="K81" i="59"/>
  <c r="J81" i="59"/>
  <c r="D81" i="59"/>
  <c r="I80" i="59"/>
  <c r="V79" i="59"/>
  <c r="K79" i="59"/>
  <c r="J79" i="59"/>
  <c r="H79" i="59"/>
  <c r="G79" i="59"/>
  <c r="F79" i="59"/>
  <c r="E79" i="59"/>
  <c r="D79" i="59"/>
  <c r="I79" i="59" s="1"/>
  <c r="I78" i="59"/>
  <c r="I77" i="59"/>
  <c r="V76" i="59"/>
  <c r="K76" i="59"/>
  <c r="K75" i="59" s="1"/>
  <c r="K74" i="59" s="1"/>
  <c r="J76" i="59"/>
  <c r="I76" i="59"/>
  <c r="H76" i="59"/>
  <c r="G76" i="59"/>
  <c r="F76" i="59"/>
  <c r="E76" i="59"/>
  <c r="D76" i="59"/>
  <c r="J75" i="59"/>
  <c r="J74" i="59" s="1"/>
  <c r="D75" i="59"/>
  <c r="I73" i="59"/>
  <c r="I72" i="59"/>
  <c r="V71" i="59"/>
  <c r="K71" i="59"/>
  <c r="J71" i="59"/>
  <c r="H71" i="59"/>
  <c r="G71" i="59"/>
  <c r="F71" i="59"/>
  <c r="I71" i="59" s="1"/>
  <c r="E71" i="59"/>
  <c r="I70" i="59"/>
  <c r="I69" i="59"/>
  <c r="I68" i="59"/>
  <c r="V67" i="59"/>
  <c r="K67" i="59"/>
  <c r="J67" i="59"/>
  <c r="I67" i="59"/>
  <c r="H67" i="59"/>
  <c r="G67" i="59"/>
  <c r="F67" i="59"/>
  <c r="E67" i="59"/>
  <c r="D67" i="59"/>
  <c r="I66" i="59"/>
  <c r="V65" i="59"/>
  <c r="K65" i="59"/>
  <c r="J65" i="59"/>
  <c r="H65" i="59"/>
  <c r="G65" i="59"/>
  <c r="F65" i="59"/>
  <c r="D65" i="59"/>
  <c r="I65" i="59" s="1"/>
  <c r="I64" i="59"/>
  <c r="I63" i="59"/>
  <c r="I62" i="59"/>
  <c r="I61" i="59"/>
  <c r="I60" i="59"/>
  <c r="I59" i="59"/>
  <c r="I57" i="59" s="1"/>
  <c r="I58" i="59"/>
  <c r="V57" i="59"/>
  <c r="V49" i="59" s="1"/>
  <c r="K57" i="59"/>
  <c r="J57" i="59"/>
  <c r="H57" i="59"/>
  <c r="G57" i="59"/>
  <c r="F57" i="59"/>
  <c r="F49" i="59" s="1"/>
  <c r="E57" i="59"/>
  <c r="D57" i="59"/>
  <c r="I56" i="59"/>
  <c r="I55" i="59"/>
  <c r="V54" i="59"/>
  <c r="K54" i="59"/>
  <c r="J54" i="59"/>
  <c r="I54" i="59"/>
  <c r="H54" i="59"/>
  <c r="G54" i="59"/>
  <c r="F54" i="59"/>
  <c r="E54" i="59"/>
  <c r="E49" i="59" s="1"/>
  <c r="E30" i="59" s="1"/>
  <c r="D54" i="59"/>
  <c r="I53" i="59"/>
  <c r="I52" i="59"/>
  <c r="I51" i="59"/>
  <c r="V50" i="59"/>
  <c r="K50" i="59"/>
  <c r="K49" i="59" s="1"/>
  <c r="J50" i="59"/>
  <c r="I50" i="59"/>
  <c r="H50" i="59"/>
  <c r="H49" i="59" s="1"/>
  <c r="G50" i="59"/>
  <c r="G49" i="59" s="1"/>
  <c r="G30" i="59" s="1"/>
  <c r="F50" i="59"/>
  <c r="E50" i="59"/>
  <c r="D50" i="59"/>
  <c r="J49" i="59"/>
  <c r="D49" i="59"/>
  <c r="I49" i="59" s="1"/>
  <c r="I48" i="59"/>
  <c r="I47" i="59"/>
  <c r="V46" i="59"/>
  <c r="K46" i="59"/>
  <c r="J46" i="59"/>
  <c r="I46" i="59"/>
  <c r="H46" i="59"/>
  <c r="H30" i="59" s="1"/>
  <c r="G46" i="59"/>
  <c r="F46" i="59"/>
  <c r="E46" i="59"/>
  <c r="D46" i="59"/>
  <c r="I45" i="59"/>
  <c r="I44" i="59"/>
  <c r="I43" i="59"/>
  <c r="I42" i="59"/>
  <c r="I41" i="59"/>
  <c r="I40" i="59"/>
  <c r="I39" i="59"/>
  <c r="V38" i="59"/>
  <c r="K38" i="59"/>
  <c r="J38" i="59"/>
  <c r="I38" i="59"/>
  <c r="H38" i="59"/>
  <c r="G38" i="59"/>
  <c r="F38" i="59"/>
  <c r="E38" i="59"/>
  <c r="D38" i="59"/>
  <c r="I37" i="59"/>
  <c r="I36" i="59"/>
  <c r="I35" i="59"/>
  <c r="I34" i="59"/>
  <c r="I33" i="59"/>
  <c r="I32" i="59"/>
  <c r="V31" i="59"/>
  <c r="K31" i="59"/>
  <c r="K30" i="59" s="1"/>
  <c r="K29" i="59" s="1"/>
  <c r="K260" i="59" s="1"/>
  <c r="J31" i="59"/>
  <c r="J30" i="59" s="1"/>
  <c r="H31" i="59"/>
  <c r="G31" i="59"/>
  <c r="F31" i="59"/>
  <c r="F30" i="59" s="1"/>
  <c r="F29" i="59" s="1"/>
  <c r="F260" i="59" s="1"/>
  <c r="E31" i="59"/>
  <c r="D31" i="59"/>
  <c r="I31" i="59" s="1"/>
  <c r="H28" i="59"/>
  <c r="G28" i="59"/>
  <c r="E28" i="59"/>
  <c r="I27" i="59"/>
  <c r="I26" i="59"/>
  <c r="I25" i="59"/>
  <c r="V24" i="59"/>
  <c r="K24" i="59"/>
  <c r="J24" i="59"/>
  <c r="I24" i="59"/>
  <c r="F24" i="59"/>
  <c r="E24" i="59"/>
  <c r="D24" i="59"/>
  <c r="I23" i="59"/>
  <c r="I22" i="59"/>
  <c r="V21" i="59"/>
  <c r="K21" i="59"/>
  <c r="J21" i="59"/>
  <c r="I21" i="59"/>
  <c r="V20" i="59"/>
  <c r="K20" i="59"/>
  <c r="J20" i="59"/>
  <c r="I20" i="59"/>
  <c r="V19" i="59"/>
  <c r="K19" i="59"/>
  <c r="J19" i="59"/>
  <c r="I19" i="59"/>
  <c r="V18" i="59"/>
  <c r="K18" i="59"/>
  <c r="J18" i="59"/>
  <c r="I18" i="59"/>
  <c r="V17" i="59"/>
  <c r="K17" i="59"/>
  <c r="J17" i="59"/>
  <c r="I17" i="59"/>
  <c r="V16" i="59"/>
  <c r="V12" i="59" s="1"/>
  <c r="V11" i="59" s="1"/>
  <c r="V10" i="59" s="1"/>
  <c r="V9" i="59" s="1"/>
  <c r="K16" i="59"/>
  <c r="J16" i="59"/>
  <c r="I16" i="59"/>
  <c r="V15" i="59"/>
  <c r="K15" i="59"/>
  <c r="J15" i="59"/>
  <c r="J12" i="59" s="1"/>
  <c r="J11" i="59" s="1"/>
  <c r="J10" i="59" s="1"/>
  <c r="J9" i="59" s="1"/>
  <c r="I15" i="59"/>
  <c r="I14" i="59"/>
  <c r="V13" i="59"/>
  <c r="K13" i="59"/>
  <c r="K12" i="59" s="1"/>
  <c r="K11" i="59" s="1"/>
  <c r="K10" i="59" s="1"/>
  <c r="K9" i="59" s="1"/>
  <c r="J13" i="59"/>
  <c r="I13" i="59"/>
  <c r="I12" i="59"/>
  <c r="D12" i="59"/>
  <c r="D11" i="59"/>
  <c r="I11" i="59" s="1"/>
  <c r="H9" i="59"/>
  <c r="G9" i="59"/>
  <c r="F9" i="59"/>
  <c r="E9" i="59"/>
  <c r="I8" i="59"/>
  <c r="I7" i="59"/>
  <c r="D7" i="59"/>
  <c r="I6" i="59"/>
  <c r="V5" i="59"/>
  <c r="V28" i="59" s="1"/>
  <c r="K5" i="59"/>
  <c r="J5" i="59"/>
  <c r="I5" i="59"/>
  <c r="F5" i="59"/>
  <c r="F28" i="59" s="1"/>
  <c r="E5" i="59"/>
  <c r="D5" i="59"/>
  <c r="K5" i="58"/>
  <c r="L5" i="58"/>
  <c r="M5" i="58"/>
  <c r="N5" i="58"/>
  <c r="O5" i="58"/>
  <c r="P5" i="58"/>
  <c r="Q5" i="58"/>
  <c r="R5" i="58"/>
  <c r="S5" i="58"/>
  <c r="T5" i="58"/>
  <c r="U5" i="58"/>
  <c r="V5" i="58"/>
  <c r="K13" i="58"/>
  <c r="L13" i="58"/>
  <c r="M13" i="58"/>
  <c r="N13" i="58"/>
  <c r="O13" i="58"/>
  <c r="P13" i="58"/>
  <c r="Q13" i="58"/>
  <c r="R13" i="58"/>
  <c r="S13" i="58"/>
  <c r="T13" i="58"/>
  <c r="U13" i="58"/>
  <c r="V13" i="58"/>
  <c r="K15" i="58"/>
  <c r="L15" i="58"/>
  <c r="M15" i="58"/>
  <c r="N15" i="58"/>
  <c r="O15" i="58"/>
  <c r="P15" i="58"/>
  <c r="Q15" i="58"/>
  <c r="R15" i="58"/>
  <c r="S15" i="58"/>
  <c r="T15" i="58"/>
  <c r="U15" i="58"/>
  <c r="V15" i="58"/>
  <c r="K16" i="58"/>
  <c r="L16" i="58"/>
  <c r="M16" i="58"/>
  <c r="N16" i="58"/>
  <c r="O16" i="58"/>
  <c r="P16" i="58"/>
  <c r="Q16" i="58"/>
  <c r="R16" i="58"/>
  <c r="S16" i="58"/>
  <c r="T16" i="58"/>
  <c r="U16" i="58"/>
  <c r="V16" i="58"/>
  <c r="K17" i="58"/>
  <c r="L17" i="58"/>
  <c r="M17" i="58"/>
  <c r="N17" i="58"/>
  <c r="O17" i="58"/>
  <c r="P17" i="58"/>
  <c r="Q17" i="58"/>
  <c r="R17" i="58"/>
  <c r="S17" i="58"/>
  <c r="T17" i="58"/>
  <c r="U17" i="58"/>
  <c r="V17" i="58"/>
  <c r="K18" i="58"/>
  <c r="L18" i="58"/>
  <c r="M18" i="58"/>
  <c r="N18" i="58"/>
  <c r="O18" i="58"/>
  <c r="P18" i="58"/>
  <c r="Q18" i="58"/>
  <c r="R18" i="58"/>
  <c r="S18" i="58"/>
  <c r="T18" i="58"/>
  <c r="U18" i="58"/>
  <c r="V18" i="58"/>
  <c r="K19" i="58"/>
  <c r="L19" i="58"/>
  <c r="M19" i="58"/>
  <c r="N19" i="58"/>
  <c r="O19" i="58"/>
  <c r="P19" i="58"/>
  <c r="Q19" i="58"/>
  <c r="R19" i="58"/>
  <c r="S19" i="58"/>
  <c r="T19" i="58"/>
  <c r="U19" i="58"/>
  <c r="V19" i="58"/>
  <c r="K20" i="58"/>
  <c r="L20" i="58"/>
  <c r="M20" i="58"/>
  <c r="N20" i="58"/>
  <c r="O20" i="58"/>
  <c r="P20" i="58"/>
  <c r="Q20" i="58"/>
  <c r="R20" i="58"/>
  <c r="S20" i="58"/>
  <c r="T20" i="58"/>
  <c r="U20" i="58"/>
  <c r="V20" i="58"/>
  <c r="K21" i="58"/>
  <c r="L21" i="58"/>
  <c r="M21" i="58"/>
  <c r="N21" i="58"/>
  <c r="O21" i="58"/>
  <c r="P21" i="58"/>
  <c r="Q21" i="58"/>
  <c r="R21" i="58"/>
  <c r="S21" i="58"/>
  <c r="T21" i="58"/>
  <c r="U21" i="58"/>
  <c r="V21" i="58"/>
  <c r="K24" i="58"/>
  <c r="L24" i="58"/>
  <c r="M24" i="58"/>
  <c r="N24" i="58"/>
  <c r="O24" i="58"/>
  <c r="P24" i="58"/>
  <c r="Q24" i="58"/>
  <c r="R24" i="58"/>
  <c r="S24" i="58"/>
  <c r="T24" i="58"/>
  <c r="U24" i="58"/>
  <c r="V24" i="58"/>
  <c r="K31" i="58"/>
  <c r="L31" i="58"/>
  <c r="M31" i="58"/>
  <c r="N31" i="58"/>
  <c r="O31" i="58"/>
  <c r="P31" i="58"/>
  <c r="Q31" i="58"/>
  <c r="R31" i="58"/>
  <c r="S31" i="58"/>
  <c r="T31" i="58"/>
  <c r="U31" i="58"/>
  <c r="V31" i="58"/>
  <c r="K38" i="58"/>
  <c r="L38" i="58"/>
  <c r="M38" i="58"/>
  <c r="N38" i="58"/>
  <c r="O38" i="58"/>
  <c r="P38" i="58"/>
  <c r="Q38" i="58"/>
  <c r="R38" i="58"/>
  <c r="S38" i="58"/>
  <c r="T38" i="58"/>
  <c r="U38" i="58"/>
  <c r="V38" i="58"/>
  <c r="K46" i="58"/>
  <c r="L46" i="58"/>
  <c r="M46" i="58"/>
  <c r="N46" i="58"/>
  <c r="O46" i="58"/>
  <c r="P46" i="58"/>
  <c r="Q46" i="58"/>
  <c r="R46" i="58"/>
  <c r="S46" i="58"/>
  <c r="T46" i="58"/>
  <c r="U46" i="58"/>
  <c r="V46" i="58"/>
  <c r="K50" i="58"/>
  <c r="K49" i="58" s="1"/>
  <c r="L50" i="58"/>
  <c r="M50" i="58"/>
  <c r="N50" i="58"/>
  <c r="N49" i="58" s="1"/>
  <c r="O50" i="58"/>
  <c r="O49" i="58" s="1"/>
  <c r="P50" i="58"/>
  <c r="P49" i="58" s="1"/>
  <c r="Q50" i="58"/>
  <c r="Q49" i="58" s="1"/>
  <c r="R50" i="58"/>
  <c r="S50" i="58"/>
  <c r="S49" i="58" s="1"/>
  <c r="T50" i="58"/>
  <c r="U50" i="58"/>
  <c r="V50" i="58"/>
  <c r="V49" i="58" s="1"/>
  <c r="K54" i="58"/>
  <c r="L54" i="58"/>
  <c r="L49" i="58" s="1"/>
  <c r="M54" i="58"/>
  <c r="M49" i="58" s="1"/>
  <c r="N54" i="58"/>
  <c r="O54" i="58"/>
  <c r="P54" i="58"/>
  <c r="Q54" i="58"/>
  <c r="R54" i="58"/>
  <c r="R49" i="58" s="1"/>
  <c r="S54" i="58"/>
  <c r="T54" i="58"/>
  <c r="T49" i="58" s="1"/>
  <c r="U54" i="58"/>
  <c r="U49" i="58" s="1"/>
  <c r="V54" i="58"/>
  <c r="K57" i="58"/>
  <c r="L57" i="58"/>
  <c r="M57" i="58"/>
  <c r="N57" i="58"/>
  <c r="O57" i="58"/>
  <c r="P57" i="58"/>
  <c r="Q57" i="58"/>
  <c r="R57" i="58"/>
  <c r="S57" i="58"/>
  <c r="T57" i="58"/>
  <c r="U57" i="58"/>
  <c r="V57" i="58"/>
  <c r="K65" i="58"/>
  <c r="L65" i="58"/>
  <c r="M65" i="58"/>
  <c r="N65" i="58"/>
  <c r="O65" i="58"/>
  <c r="P65" i="58"/>
  <c r="Q65" i="58"/>
  <c r="R65" i="58"/>
  <c r="S65" i="58"/>
  <c r="T65" i="58"/>
  <c r="U65" i="58"/>
  <c r="V65" i="58"/>
  <c r="K67" i="58"/>
  <c r="L67" i="58"/>
  <c r="M67" i="58"/>
  <c r="N67" i="58"/>
  <c r="O67" i="58"/>
  <c r="P67" i="58"/>
  <c r="Q67" i="58"/>
  <c r="R67" i="58"/>
  <c r="S67" i="58"/>
  <c r="T67" i="58"/>
  <c r="U67" i="58"/>
  <c r="V67" i="58"/>
  <c r="K71" i="58"/>
  <c r="L71" i="58"/>
  <c r="M71" i="58"/>
  <c r="N71" i="58"/>
  <c r="O71" i="58"/>
  <c r="P71" i="58"/>
  <c r="Q71" i="58"/>
  <c r="R71" i="58"/>
  <c r="S71" i="58"/>
  <c r="T71" i="58"/>
  <c r="U71" i="58"/>
  <c r="V71" i="58"/>
  <c r="K76" i="58"/>
  <c r="L76" i="58"/>
  <c r="M76" i="58"/>
  <c r="N76" i="58"/>
  <c r="N75" i="58" s="1"/>
  <c r="O76" i="58"/>
  <c r="O75" i="58" s="1"/>
  <c r="P76" i="58"/>
  <c r="P75" i="58" s="1"/>
  <c r="Q76" i="58"/>
  <c r="Q75" i="58" s="1"/>
  <c r="R76" i="58"/>
  <c r="S76" i="58"/>
  <c r="T76" i="58"/>
  <c r="U76" i="58"/>
  <c r="V76" i="58"/>
  <c r="V75" i="58" s="1"/>
  <c r="K79" i="58"/>
  <c r="L79" i="58"/>
  <c r="L75" i="58" s="1"/>
  <c r="M79" i="58"/>
  <c r="M75" i="58" s="1"/>
  <c r="N79" i="58"/>
  <c r="O79" i="58"/>
  <c r="P79" i="58"/>
  <c r="Q79" i="58"/>
  <c r="R79" i="58"/>
  <c r="R75" i="58" s="1"/>
  <c r="S79" i="58"/>
  <c r="T79" i="58"/>
  <c r="T75" i="58" s="1"/>
  <c r="U79" i="58"/>
  <c r="U75" i="58" s="1"/>
  <c r="V79" i="58"/>
  <c r="K81" i="58"/>
  <c r="L81" i="58"/>
  <c r="M81" i="58"/>
  <c r="N81" i="58"/>
  <c r="O81" i="58"/>
  <c r="P81" i="58"/>
  <c r="Q81" i="58"/>
  <c r="R81" i="58"/>
  <c r="S81" i="58"/>
  <c r="T81" i="58"/>
  <c r="U81" i="58"/>
  <c r="V81" i="58"/>
  <c r="K84" i="58"/>
  <c r="L84" i="58"/>
  <c r="M84" i="58"/>
  <c r="N84" i="58"/>
  <c r="O84" i="58"/>
  <c r="P84" i="58"/>
  <c r="Q84" i="58"/>
  <c r="R84" i="58"/>
  <c r="S84" i="58"/>
  <c r="T84" i="58"/>
  <c r="U84" i="58"/>
  <c r="V84" i="58"/>
  <c r="K87" i="58"/>
  <c r="L87" i="58"/>
  <c r="M87" i="58"/>
  <c r="N87" i="58"/>
  <c r="O87" i="58"/>
  <c r="P87" i="58"/>
  <c r="Q87" i="58"/>
  <c r="R87" i="58"/>
  <c r="S87" i="58"/>
  <c r="T87" i="58"/>
  <c r="U87" i="58"/>
  <c r="V87" i="58"/>
  <c r="K91" i="58"/>
  <c r="K90" i="58" s="1"/>
  <c r="L91" i="58"/>
  <c r="M91" i="58"/>
  <c r="N91" i="58"/>
  <c r="N90" i="58" s="1"/>
  <c r="O91" i="58"/>
  <c r="O90" i="58" s="1"/>
  <c r="P91" i="58"/>
  <c r="P90" i="58" s="1"/>
  <c r="Q91" i="58"/>
  <c r="Q90" i="58" s="1"/>
  <c r="R91" i="58"/>
  <c r="S91" i="58"/>
  <c r="S90" i="58" s="1"/>
  <c r="T91" i="58"/>
  <c r="U91" i="58"/>
  <c r="V91" i="58"/>
  <c r="V90" i="58" s="1"/>
  <c r="K94" i="58"/>
  <c r="L94" i="58"/>
  <c r="L90" i="58" s="1"/>
  <c r="M94" i="58"/>
  <c r="M90" i="58" s="1"/>
  <c r="N94" i="58"/>
  <c r="O94" i="58"/>
  <c r="P94" i="58"/>
  <c r="Q94" i="58"/>
  <c r="R94" i="58"/>
  <c r="R90" i="58" s="1"/>
  <c r="S94" i="58"/>
  <c r="T94" i="58"/>
  <c r="T90" i="58" s="1"/>
  <c r="U94" i="58"/>
  <c r="U90" i="58" s="1"/>
  <c r="V94" i="58"/>
  <c r="K98" i="58"/>
  <c r="L98" i="58"/>
  <c r="M98" i="58"/>
  <c r="N98" i="58"/>
  <c r="O98" i="58"/>
  <c r="P98" i="58"/>
  <c r="Q98" i="58"/>
  <c r="R98" i="58"/>
  <c r="S98" i="58"/>
  <c r="T98" i="58"/>
  <c r="U98" i="58"/>
  <c r="V98" i="58"/>
  <c r="K102" i="58"/>
  <c r="L102" i="58"/>
  <c r="M102" i="58"/>
  <c r="N102" i="58"/>
  <c r="N97" i="58" s="1"/>
  <c r="O102" i="58"/>
  <c r="P102" i="58"/>
  <c r="Q102" i="58"/>
  <c r="Q97" i="58" s="1"/>
  <c r="R102" i="58"/>
  <c r="S102" i="58"/>
  <c r="T102" i="58"/>
  <c r="U102" i="58"/>
  <c r="V102" i="58"/>
  <c r="V97" i="58" s="1"/>
  <c r="K104" i="58"/>
  <c r="L104" i="58"/>
  <c r="M104" i="58"/>
  <c r="N104" i="58"/>
  <c r="O104" i="58"/>
  <c r="P104" i="58"/>
  <c r="Q104" i="58"/>
  <c r="R104" i="58"/>
  <c r="S104" i="58"/>
  <c r="T104" i="58"/>
  <c r="U104" i="58"/>
  <c r="V104" i="58"/>
  <c r="K107" i="58"/>
  <c r="L107" i="58"/>
  <c r="M107" i="58"/>
  <c r="N107" i="58"/>
  <c r="O107" i="58"/>
  <c r="P107" i="58"/>
  <c r="Q107" i="58"/>
  <c r="R107" i="58"/>
  <c r="S107" i="58"/>
  <c r="T107" i="58"/>
  <c r="U107" i="58"/>
  <c r="V107" i="58"/>
  <c r="L110" i="58"/>
  <c r="M110" i="58"/>
  <c r="K111" i="58"/>
  <c r="K110" i="58" s="1"/>
  <c r="L111" i="58"/>
  <c r="M111" i="58"/>
  <c r="N111" i="58"/>
  <c r="N110" i="58" s="1"/>
  <c r="O111" i="58"/>
  <c r="O110" i="58" s="1"/>
  <c r="P111" i="58"/>
  <c r="P110" i="58" s="1"/>
  <c r="Q111" i="58"/>
  <c r="Q110" i="58" s="1"/>
  <c r="R111" i="58"/>
  <c r="R110" i="58" s="1"/>
  <c r="S111" i="58"/>
  <c r="S110" i="58" s="1"/>
  <c r="T111" i="58"/>
  <c r="T110" i="58" s="1"/>
  <c r="U111" i="58"/>
  <c r="U110" i="58" s="1"/>
  <c r="V111" i="58"/>
  <c r="V110" i="58" s="1"/>
  <c r="R113" i="58"/>
  <c r="U113" i="58"/>
  <c r="K114" i="58"/>
  <c r="K113" i="58" s="1"/>
  <c r="L114" i="58"/>
  <c r="L113" i="58" s="1"/>
  <c r="M114" i="58"/>
  <c r="M113" i="58" s="1"/>
  <c r="N114" i="58"/>
  <c r="N113" i="58" s="1"/>
  <c r="O114" i="58"/>
  <c r="O113" i="58" s="1"/>
  <c r="P114" i="58"/>
  <c r="P113" i="58" s="1"/>
  <c r="Q114" i="58"/>
  <c r="Q113" i="58" s="1"/>
  <c r="R114" i="58"/>
  <c r="S114" i="58"/>
  <c r="S113" i="58" s="1"/>
  <c r="T114" i="58"/>
  <c r="T113" i="58" s="1"/>
  <c r="U114" i="58"/>
  <c r="V114" i="58"/>
  <c r="V113" i="58" s="1"/>
  <c r="K123" i="58"/>
  <c r="L123" i="58"/>
  <c r="M123" i="58"/>
  <c r="N123" i="58"/>
  <c r="O123" i="58"/>
  <c r="P123" i="58"/>
  <c r="Q123" i="58"/>
  <c r="R123" i="58"/>
  <c r="S123" i="58"/>
  <c r="T123" i="58"/>
  <c r="U123" i="58"/>
  <c r="V123" i="58"/>
  <c r="N246" i="58"/>
  <c r="O246" i="58"/>
  <c r="P246" i="58"/>
  <c r="Q246" i="58"/>
  <c r="V246" i="58"/>
  <c r="K247" i="58"/>
  <c r="K246" i="58" s="1"/>
  <c r="L247" i="58"/>
  <c r="L246" i="58" s="1"/>
  <c r="M247" i="58"/>
  <c r="M246" i="58" s="1"/>
  <c r="N247" i="58"/>
  <c r="O247" i="58"/>
  <c r="P247" i="58"/>
  <c r="Q247" i="58"/>
  <c r="R247" i="58"/>
  <c r="R246" i="58" s="1"/>
  <c r="S247" i="58"/>
  <c r="S246" i="58" s="1"/>
  <c r="T247" i="58"/>
  <c r="T246" i="58" s="1"/>
  <c r="U247" i="58"/>
  <c r="U246" i="58" s="1"/>
  <c r="V247" i="58"/>
  <c r="K249" i="58"/>
  <c r="L249" i="58"/>
  <c r="M249" i="58"/>
  <c r="N249" i="58"/>
  <c r="O249" i="58"/>
  <c r="P249" i="58"/>
  <c r="Q249" i="58"/>
  <c r="R249" i="58"/>
  <c r="S249" i="58"/>
  <c r="T249" i="58"/>
  <c r="U249" i="58"/>
  <c r="V249" i="58"/>
  <c r="I246" i="58"/>
  <c r="J260" i="58"/>
  <c r="J261" i="58"/>
  <c r="E260" i="58"/>
  <c r="E261" i="58" s="1"/>
  <c r="F260" i="58"/>
  <c r="G260" i="58"/>
  <c r="H260" i="58"/>
  <c r="I260" i="58"/>
  <c r="I261" i="58" s="1"/>
  <c r="F261" i="58"/>
  <c r="G261" i="58"/>
  <c r="H261" i="58"/>
  <c r="D261" i="58"/>
  <c r="D260" i="58"/>
  <c r="H29" i="58"/>
  <c r="G29" i="58"/>
  <c r="F29" i="58"/>
  <c r="E29" i="58"/>
  <c r="D29" i="58"/>
  <c r="J29" i="58"/>
  <c r="I29" i="58"/>
  <c r="J28" i="58"/>
  <c r="I259" i="58"/>
  <c r="I258" i="58"/>
  <c r="I257" i="58"/>
  <c r="I256" i="58"/>
  <c r="I255" i="58"/>
  <c r="I254" i="58"/>
  <c r="I253" i="58"/>
  <c r="I252" i="58"/>
  <c r="I251" i="58"/>
  <c r="I250" i="58"/>
  <c r="I249" i="58" s="1"/>
  <c r="J249" i="58"/>
  <c r="H249" i="58"/>
  <c r="G249" i="58"/>
  <c r="F249" i="58"/>
  <c r="E249" i="58"/>
  <c r="D249" i="58"/>
  <c r="I248" i="58"/>
  <c r="J247" i="58"/>
  <c r="J246" i="58" s="1"/>
  <c r="H247" i="58"/>
  <c r="G247" i="58"/>
  <c r="F247" i="58"/>
  <c r="E247" i="58"/>
  <c r="D247" i="58"/>
  <c r="I247" i="58" s="1"/>
  <c r="I245" i="58"/>
  <c r="W245" i="58" s="1"/>
  <c r="W244" i="58"/>
  <c r="I244" i="58"/>
  <c r="I243" i="58"/>
  <c r="W243" i="58" s="1"/>
  <c r="I242" i="58"/>
  <c r="W242" i="58" s="1"/>
  <c r="W241" i="58"/>
  <c r="I241" i="58"/>
  <c r="W240" i="58"/>
  <c r="I240" i="58"/>
  <c r="W239" i="58"/>
  <c r="I239" i="58"/>
  <c r="I238" i="58"/>
  <c r="W238" i="58" s="1"/>
  <c r="I237" i="58"/>
  <c r="W237" i="58" s="1"/>
  <c r="W236" i="58"/>
  <c r="I236" i="58"/>
  <c r="I235" i="58"/>
  <c r="W235" i="58" s="1"/>
  <c r="I234" i="58"/>
  <c r="W234" i="58" s="1"/>
  <c r="W233" i="58"/>
  <c r="I233" i="58"/>
  <c r="W232" i="58"/>
  <c r="I232" i="58"/>
  <c r="W231" i="58"/>
  <c r="I231" i="58"/>
  <c r="I230" i="58"/>
  <c r="W230" i="58" s="1"/>
  <c r="W229" i="58"/>
  <c r="I229" i="58"/>
  <c r="I228" i="58"/>
  <c r="W228" i="58" s="1"/>
  <c r="I227" i="58"/>
  <c r="W227" i="58" s="1"/>
  <c r="W226" i="58"/>
  <c r="I226" i="58"/>
  <c r="W225" i="58"/>
  <c r="I225" i="58"/>
  <c r="W224" i="58"/>
  <c r="I224" i="58"/>
  <c r="I223" i="58"/>
  <c r="W223" i="58" s="1"/>
  <c r="I222" i="58"/>
  <c r="W222" i="58" s="1"/>
  <c r="W221" i="58"/>
  <c r="I221" i="58"/>
  <c r="I220" i="58"/>
  <c r="W220" i="58" s="1"/>
  <c r="I219" i="58"/>
  <c r="W219" i="58" s="1"/>
  <c r="W218" i="58"/>
  <c r="I218" i="58"/>
  <c r="W217" i="58"/>
  <c r="I217" i="58"/>
  <c r="W216" i="58"/>
  <c r="I216" i="58"/>
  <c r="I215" i="58"/>
  <c r="W215" i="58" s="1"/>
  <c r="I214" i="58"/>
  <c r="W214" i="58" s="1"/>
  <c r="W213" i="58"/>
  <c r="I213" i="58"/>
  <c r="I212" i="58"/>
  <c r="W212" i="58" s="1"/>
  <c r="I211" i="58"/>
  <c r="W211" i="58" s="1"/>
  <c r="I210" i="58"/>
  <c r="I209" i="58"/>
  <c r="W209" i="58" s="1"/>
  <c r="I208" i="58"/>
  <c r="W208" i="58" s="1"/>
  <c r="W207" i="58"/>
  <c r="I207" i="58"/>
  <c r="W206" i="58"/>
  <c r="I206" i="58"/>
  <c r="W205" i="58"/>
  <c r="I205" i="58"/>
  <c r="I204" i="58"/>
  <c r="I203" i="58"/>
  <c r="I202" i="58"/>
  <c r="W201" i="58"/>
  <c r="I201" i="58"/>
  <c r="I200" i="58"/>
  <c r="W200" i="58" s="1"/>
  <c r="W199" i="58"/>
  <c r="I199" i="58"/>
  <c r="I198" i="58"/>
  <c r="I197" i="58"/>
  <c r="W197" i="58" s="1"/>
  <c r="W196" i="58"/>
  <c r="I196" i="58"/>
  <c r="W195" i="58"/>
  <c r="I195" i="58"/>
  <c r="W194" i="58"/>
  <c r="I194" i="58"/>
  <c r="I193" i="58"/>
  <c r="W192" i="58"/>
  <c r="I192" i="58"/>
  <c r="I191" i="58"/>
  <c r="W190" i="58"/>
  <c r="I190" i="58"/>
  <c r="I189" i="58"/>
  <c r="I188" i="58"/>
  <c r="W188" i="58" s="1"/>
  <c r="W187" i="58"/>
  <c r="I187" i="58"/>
  <c r="I186" i="58"/>
  <c r="W186" i="58" s="1"/>
  <c r="W185" i="58"/>
  <c r="I185" i="58"/>
  <c r="I184" i="58"/>
  <c r="W184" i="58" s="1"/>
  <c r="W183" i="58"/>
  <c r="I183" i="58"/>
  <c r="I182" i="58"/>
  <c r="W182" i="58" s="1"/>
  <c r="W181" i="58"/>
  <c r="I181" i="58"/>
  <c r="I180" i="58"/>
  <c r="W179" i="58"/>
  <c r="I179" i="58"/>
  <c r="I178" i="58"/>
  <c r="W178" i="58" s="1"/>
  <c r="I177" i="58"/>
  <c r="W177" i="58" s="1"/>
  <c r="W176" i="58"/>
  <c r="I176" i="58"/>
  <c r="I175" i="58"/>
  <c r="W175" i="58" s="1"/>
  <c r="I174" i="58"/>
  <c r="W174" i="58" s="1"/>
  <c r="W173" i="58"/>
  <c r="I173" i="58"/>
  <c r="W172" i="58"/>
  <c r="I172" i="58"/>
  <c r="W171" i="58"/>
  <c r="I171" i="58"/>
  <c r="I170" i="58"/>
  <c r="W170" i="58" s="1"/>
  <c r="I169" i="58"/>
  <c r="W169" i="58" s="1"/>
  <c r="W168" i="58"/>
  <c r="I168" i="58"/>
  <c r="I167" i="58"/>
  <c r="W166" i="58"/>
  <c r="I166" i="58"/>
  <c r="I165" i="58"/>
  <c r="W165" i="58" s="1"/>
  <c r="I164" i="58"/>
  <c r="W164" i="58" s="1"/>
  <c r="W163" i="58"/>
  <c r="I163" i="58"/>
  <c r="W162" i="58"/>
  <c r="I162" i="58"/>
  <c r="W161" i="58"/>
  <c r="I161" i="58"/>
  <c r="I160" i="58"/>
  <c r="W160" i="58" s="1"/>
  <c r="I159" i="58"/>
  <c r="W159" i="58" s="1"/>
  <c r="W158" i="58"/>
  <c r="I158" i="58"/>
  <c r="I157" i="58"/>
  <c r="W157" i="58" s="1"/>
  <c r="I156" i="58"/>
  <c r="W156" i="58" s="1"/>
  <c r="W155" i="58"/>
  <c r="I155" i="58"/>
  <c r="W154" i="58"/>
  <c r="I154" i="58"/>
  <c r="W153" i="58"/>
  <c r="I153" i="58"/>
  <c r="I152" i="58"/>
  <c r="W152" i="58" s="1"/>
  <c r="W151" i="58"/>
  <c r="I151" i="58"/>
  <c r="W150" i="58"/>
  <c r="I150" i="58"/>
  <c r="I149" i="58"/>
  <c r="W148" i="58"/>
  <c r="I148" i="58"/>
  <c r="I147" i="58"/>
  <c r="W146" i="58"/>
  <c r="I146" i="58"/>
  <c r="I145" i="58"/>
  <c r="W144" i="58"/>
  <c r="I144" i="58"/>
  <c r="I143" i="58"/>
  <c r="W142" i="58"/>
  <c r="I142" i="58"/>
  <c r="I141" i="58"/>
  <c r="W140" i="58"/>
  <c r="I140" i="58"/>
  <c r="I139" i="58"/>
  <c r="W138" i="58"/>
  <c r="I138" i="58"/>
  <c r="I137" i="58"/>
  <c r="W136" i="58"/>
  <c r="I136" i="58"/>
  <c r="I135" i="58"/>
  <c r="W134" i="58"/>
  <c r="I134" i="58"/>
  <c r="I133" i="58"/>
  <c r="W132" i="58"/>
  <c r="I132" i="58"/>
  <c r="W131" i="58"/>
  <c r="I131" i="58"/>
  <c r="W130" i="58"/>
  <c r="I130" i="58"/>
  <c r="I129" i="58"/>
  <c r="W129" i="58" s="1"/>
  <c r="I128" i="58"/>
  <c r="W128" i="58" s="1"/>
  <c r="W127" i="58"/>
  <c r="I127" i="58"/>
  <c r="I126" i="58"/>
  <c r="I125" i="58"/>
  <c r="W125" i="58" s="1"/>
  <c r="W124" i="58"/>
  <c r="I124" i="58"/>
  <c r="J123" i="58"/>
  <c r="H123" i="58"/>
  <c r="G123" i="58"/>
  <c r="F123" i="58"/>
  <c r="E123" i="58"/>
  <c r="D123" i="58"/>
  <c r="I122" i="58"/>
  <c r="I121" i="58"/>
  <c r="I120" i="58"/>
  <c r="I119" i="58"/>
  <c r="I118" i="58"/>
  <c r="I117" i="58"/>
  <c r="I116" i="58"/>
  <c r="I115" i="58"/>
  <c r="J114" i="58"/>
  <c r="J113" i="58" s="1"/>
  <c r="D114" i="58"/>
  <c r="H113" i="58"/>
  <c r="G113" i="58"/>
  <c r="F113" i="58"/>
  <c r="E113" i="58"/>
  <c r="I112" i="58"/>
  <c r="J111" i="58"/>
  <c r="H111" i="58"/>
  <c r="H110" i="58" s="1"/>
  <c r="H108" i="58" s="1"/>
  <c r="H107" i="58" s="1"/>
  <c r="H106" i="58" s="1"/>
  <c r="G111" i="58"/>
  <c r="F111" i="58"/>
  <c r="F110" i="58" s="1"/>
  <c r="F108" i="58" s="1"/>
  <c r="F107" i="58" s="1"/>
  <c r="E111" i="58"/>
  <c r="E110" i="58" s="1"/>
  <c r="E108" i="58" s="1"/>
  <c r="D111" i="58"/>
  <c r="I111" i="58" s="1"/>
  <c r="J110" i="58"/>
  <c r="G110" i="58"/>
  <c r="G108" i="58" s="1"/>
  <c r="G107" i="58" s="1"/>
  <c r="G106" i="58" s="1"/>
  <c r="I109" i="58"/>
  <c r="J107" i="58"/>
  <c r="D107" i="58"/>
  <c r="F106" i="58"/>
  <c r="I105" i="58"/>
  <c r="J104" i="58"/>
  <c r="I104" i="58"/>
  <c r="H104" i="58"/>
  <c r="G104" i="58"/>
  <c r="F104" i="58"/>
  <c r="E104" i="58"/>
  <c r="D104" i="58"/>
  <c r="I103" i="58"/>
  <c r="J102" i="58"/>
  <c r="I102" i="58"/>
  <c r="H102" i="58"/>
  <c r="H97" i="58" s="1"/>
  <c r="G102" i="58"/>
  <c r="F102" i="58"/>
  <c r="E102" i="58"/>
  <c r="D102" i="58"/>
  <c r="I101" i="58"/>
  <c r="X100" i="58"/>
  <c r="I100" i="58"/>
  <c r="I98" i="58" s="1"/>
  <c r="X99" i="58"/>
  <c r="I99" i="58"/>
  <c r="J98" i="58"/>
  <c r="H98" i="58"/>
  <c r="G98" i="58"/>
  <c r="F98" i="58"/>
  <c r="F97" i="58" s="1"/>
  <c r="E98" i="58"/>
  <c r="D98" i="58"/>
  <c r="D97" i="58" s="1"/>
  <c r="I97" i="58" s="1"/>
  <c r="G97" i="58"/>
  <c r="E97" i="58"/>
  <c r="I96" i="58"/>
  <c r="I95" i="58"/>
  <c r="J94" i="58"/>
  <c r="H94" i="58"/>
  <c r="G94" i="58"/>
  <c r="F94" i="58"/>
  <c r="F90" i="58" s="1"/>
  <c r="F87" i="58" s="1"/>
  <c r="F84" i="58" s="1"/>
  <c r="F81" i="58" s="1"/>
  <c r="F75" i="58" s="1"/>
  <c r="F74" i="58" s="1"/>
  <c r="E94" i="58"/>
  <c r="D94" i="58"/>
  <c r="I93" i="58"/>
  <c r="I92" i="58"/>
  <c r="J91" i="58"/>
  <c r="H91" i="58"/>
  <c r="G91" i="58"/>
  <c r="G90" i="58" s="1"/>
  <c r="G87" i="58" s="1"/>
  <c r="F91" i="58"/>
  <c r="E91" i="58"/>
  <c r="D91" i="58"/>
  <c r="J90" i="58"/>
  <c r="H90" i="58"/>
  <c r="H87" i="58" s="1"/>
  <c r="H84" i="58" s="1"/>
  <c r="H81" i="58" s="1"/>
  <c r="E90" i="58"/>
  <c r="E87" i="58" s="1"/>
  <c r="I89" i="58"/>
  <c r="I88" i="58"/>
  <c r="J87" i="58"/>
  <c r="D87" i="58"/>
  <c r="I86" i="58"/>
  <c r="I85" i="58"/>
  <c r="J84" i="58"/>
  <c r="G84" i="58"/>
  <c r="G81" i="58" s="1"/>
  <c r="D84" i="58"/>
  <c r="I83" i="58"/>
  <c r="I82" i="58"/>
  <c r="J81" i="58"/>
  <c r="D81" i="58"/>
  <c r="I80" i="58"/>
  <c r="J79" i="58"/>
  <c r="I79" i="58"/>
  <c r="H79" i="58"/>
  <c r="G79" i="58"/>
  <c r="F79" i="58"/>
  <c r="E79" i="58"/>
  <c r="D79" i="58"/>
  <c r="I78" i="58"/>
  <c r="I77" i="58"/>
  <c r="J76" i="58"/>
  <c r="H76" i="58"/>
  <c r="G76" i="58"/>
  <c r="F76" i="58"/>
  <c r="E76" i="58"/>
  <c r="D76" i="58"/>
  <c r="I73" i="58"/>
  <c r="I72" i="58"/>
  <c r="J71" i="58"/>
  <c r="I71" i="58"/>
  <c r="H71" i="58"/>
  <c r="G71" i="58"/>
  <c r="F71" i="58"/>
  <c r="E71" i="58"/>
  <c r="I70" i="58"/>
  <c r="I69" i="58"/>
  <c r="I68" i="58"/>
  <c r="J67" i="58"/>
  <c r="I67" i="58"/>
  <c r="H67" i="58"/>
  <c r="G67" i="58"/>
  <c r="F67" i="58"/>
  <c r="E67" i="58"/>
  <c r="D67" i="58"/>
  <c r="I66" i="58"/>
  <c r="J65" i="58"/>
  <c r="H65" i="58"/>
  <c r="G65" i="58"/>
  <c r="F65" i="58"/>
  <c r="F30" i="58" s="1"/>
  <c r="D65" i="58"/>
  <c r="I64" i="58"/>
  <c r="I63" i="58"/>
  <c r="I62" i="58"/>
  <c r="I61" i="58"/>
  <c r="I60" i="58"/>
  <c r="I59" i="58"/>
  <c r="I57" i="58" s="1"/>
  <c r="I58" i="58"/>
  <c r="J57" i="58"/>
  <c r="H57" i="58"/>
  <c r="G57" i="58"/>
  <c r="F57" i="58"/>
  <c r="E57" i="58"/>
  <c r="D57" i="58"/>
  <c r="I56" i="58"/>
  <c r="I55" i="58"/>
  <c r="I54" i="58" s="1"/>
  <c r="J54" i="58"/>
  <c r="H54" i="58"/>
  <c r="G54" i="58"/>
  <c r="G49" i="58" s="1"/>
  <c r="F54" i="58"/>
  <c r="E54" i="58"/>
  <c r="D54" i="58"/>
  <c r="I53" i="58"/>
  <c r="I52" i="58"/>
  <c r="I50" i="58" s="1"/>
  <c r="I51" i="58"/>
  <c r="J50" i="58"/>
  <c r="H50" i="58"/>
  <c r="H49" i="58" s="1"/>
  <c r="H30" i="58" s="1"/>
  <c r="G50" i="58"/>
  <c r="F50" i="58"/>
  <c r="E50" i="58"/>
  <c r="D50" i="58"/>
  <c r="F49" i="58"/>
  <c r="D49" i="58"/>
  <c r="I48" i="58"/>
  <c r="I47" i="58"/>
  <c r="J46" i="58"/>
  <c r="H46" i="58"/>
  <c r="G46" i="58"/>
  <c r="F46" i="58"/>
  <c r="E46" i="58"/>
  <c r="D46" i="58"/>
  <c r="I45" i="58"/>
  <c r="I44" i="58"/>
  <c r="I43" i="58"/>
  <c r="I42" i="58"/>
  <c r="I41" i="58"/>
  <c r="I40" i="58"/>
  <c r="I39" i="58"/>
  <c r="J38" i="58"/>
  <c r="H38" i="58"/>
  <c r="G38" i="58"/>
  <c r="F38" i="58"/>
  <c r="E38" i="58"/>
  <c r="D38" i="58"/>
  <c r="I37" i="58"/>
  <c r="I36" i="58"/>
  <c r="I35" i="58"/>
  <c r="I34" i="58"/>
  <c r="I33" i="58"/>
  <c r="I32" i="58"/>
  <c r="J31" i="58"/>
  <c r="H31" i="58"/>
  <c r="G31" i="58"/>
  <c r="F31" i="58"/>
  <c r="E31" i="58"/>
  <c r="D31" i="58"/>
  <c r="I31" i="58" s="1"/>
  <c r="H28" i="58"/>
  <c r="E28" i="58"/>
  <c r="I27" i="58"/>
  <c r="I26" i="58"/>
  <c r="I25" i="58"/>
  <c r="J24" i="58"/>
  <c r="I24" i="58"/>
  <c r="F24" i="58"/>
  <c r="E24" i="58"/>
  <c r="D24" i="58"/>
  <c r="I23" i="58"/>
  <c r="I22" i="58"/>
  <c r="J21" i="58"/>
  <c r="I21" i="58"/>
  <c r="J20" i="58"/>
  <c r="I20" i="58"/>
  <c r="J19" i="58"/>
  <c r="I19" i="58"/>
  <c r="J18" i="58"/>
  <c r="I18" i="58"/>
  <c r="J17" i="58"/>
  <c r="I17" i="58"/>
  <c r="J16" i="58"/>
  <c r="I16" i="58"/>
  <c r="J15" i="58"/>
  <c r="I15" i="58"/>
  <c r="I14" i="58"/>
  <c r="J13" i="58"/>
  <c r="I13" i="58"/>
  <c r="J12" i="58"/>
  <c r="J11" i="58" s="1"/>
  <c r="I12" i="58"/>
  <c r="D12" i="58"/>
  <c r="I11" i="58"/>
  <c r="D11" i="58"/>
  <c r="D10" i="58"/>
  <c r="H9" i="58"/>
  <c r="G9" i="58"/>
  <c r="G28" i="58" s="1"/>
  <c r="F9" i="58"/>
  <c r="E9" i="58"/>
  <c r="I8" i="58"/>
  <c r="D7" i="58"/>
  <c r="I6" i="58"/>
  <c r="J5" i="58"/>
  <c r="F5" i="58"/>
  <c r="F28" i="58" s="1"/>
  <c r="E5" i="58"/>
  <c r="D7" i="54"/>
  <c r="V28" i="60" l="1"/>
  <c r="J261" i="60"/>
  <c r="R261" i="60"/>
  <c r="L29" i="60"/>
  <c r="L260" i="60" s="1"/>
  <c r="I49" i="60"/>
  <c r="T74" i="60"/>
  <c r="T29" i="60" s="1"/>
  <c r="T260" i="60" s="1"/>
  <c r="T261" i="60" s="1"/>
  <c r="P28" i="60"/>
  <c r="P261" i="60" s="1"/>
  <c r="I5" i="60"/>
  <c r="L261" i="60"/>
  <c r="I87" i="60"/>
  <c r="I84" i="60"/>
  <c r="E81" i="60"/>
  <c r="E75" i="60" s="1"/>
  <c r="I97" i="60"/>
  <c r="M29" i="60"/>
  <c r="M260" i="60" s="1"/>
  <c r="U29" i="60"/>
  <c r="U260" i="60" s="1"/>
  <c r="F75" i="60"/>
  <c r="F74" i="60" s="1"/>
  <c r="F29" i="60" s="1"/>
  <c r="F260" i="60" s="1"/>
  <c r="F261" i="60" s="1"/>
  <c r="N74" i="60"/>
  <c r="N29" i="60" s="1"/>
  <c r="N260" i="60" s="1"/>
  <c r="V74" i="60"/>
  <c r="V29" i="60" s="1"/>
  <c r="V260" i="60" s="1"/>
  <c r="K74" i="60"/>
  <c r="K29" i="60" s="1"/>
  <c r="K260" i="60" s="1"/>
  <c r="S74" i="60"/>
  <c r="S29" i="60" s="1"/>
  <c r="S260" i="60" s="1"/>
  <c r="E107" i="60"/>
  <c r="I108" i="60"/>
  <c r="N28" i="60"/>
  <c r="Q28" i="60"/>
  <c r="Q261" i="60" s="1"/>
  <c r="K28" i="60"/>
  <c r="S28" i="60"/>
  <c r="G75" i="60"/>
  <c r="G74" i="60" s="1"/>
  <c r="G29" i="60" s="1"/>
  <c r="G260" i="60" s="1"/>
  <c r="G261" i="60" s="1"/>
  <c r="O74" i="60"/>
  <c r="O29" i="60" s="1"/>
  <c r="O260" i="60" s="1"/>
  <c r="O261" i="60" s="1"/>
  <c r="M261" i="60"/>
  <c r="I246" i="60"/>
  <c r="H261" i="60"/>
  <c r="U261" i="60"/>
  <c r="D110" i="60"/>
  <c r="I110" i="60" s="1"/>
  <c r="D10" i="60"/>
  <c r="D90" i="60"/>
  <c r="I90" i="60" s="1"/>
  <c r="D30" i="60"/>
  <c r="E81" i="59"/>
  <c r="E75" i="59" s="1"/>
  <c r="E107" i="59"/>
  <c r="I108" i="59"/>
  <c r="F261" i="59"/>
  <c r="V30" i="59"/>
  <c r="J28" i="59"/>
  <c r="G75" i="59"/>
  <c r="G74" i="59" s="1"/>
  <c r="G29" i="59" s="1"/>
  <c r="G260" i="59" s="1"/>
  <c r="G261" i="59" s="1"/>
  <c r="H87" i="59"/>
  <c r="H84" i="59" s="1"/>
  <c r="H81" i="59" s="1"/>
  <c r="H75" i="59" s="1"/>
  <c r="K28" i="59"/>
  <c r="K261" i="59" s="1"/>
  <c r="J29" i="59"/>
  <c r="J260" i="59" s="1"/>
  <c r="V74" i="59"/>
  <c r="I246" i="59"/>
  <c r="D10" i="59"/>
  <c r="D90" i="59"/>
  <c r="I90" i="59" s="1"/>
  <c r="I111" i="59"/>
  <c r="D30" i="59"/>
  <c r="D74" i="59"/>
  <c r="I113" i="59"/>
  <c r="S30" i="58"/>
  <c r="K30" i="58"/>
  <c r="V12" i="58"/>
  <c r="V11" i="58" s="1"/>
  <c r="V10" i="58" s="1"/>
  <c r="V9" i="58" s="1"/>
  <c r="V28" i="58" s="1"/>
  <c r="N12" i="58"/>
  <c r="N11" i="58" s="1"/>
  <c r="N10" i="58" s="1"/>
  <c r="N9" i="58" s="1"/>
  <c r="N28" i="58" s="1"/>
  <c r="S75" i="58"/>
  <c r="K75" i="58"/>
  <c r="R12" i="58"/>
  <c r="R11" i="58" s="1"/>
  <c r="R10" i="58" s="1"/>
  <c r="R9" i="58" s="1"/>
  <c r="R28" i="58" s="1"/>
  <c r="U12" i="58"/>
  <c r="U11" i="58" s="1"/>
  <c r="U10" i="58" s="1"/>
  <c r="U9" i="58" s="1"/>
  <c r="U28" i="58" s="1"/>
  <c r="M12" i="58"/>
  <c r="M11" i="58" s="1"/>
  <c r="M10" i="58" s="1"/>
  <c r="M9" i="58" s="1"/>
  <c r="M28" i="58" s="1"/>
  <c r="Q12" i="58"/>
  <c r="Q11" i="58" s="1"/>
  <c r="Q10" i="58" s="1"/>
  <c r="Q9" i="58" s="1"/>
  <c r="Q28" i="58" s="1"/>
  <c r="T12" i="58"/>
  <c r="T11" i="58" s="1"/>
  <c r="T10" i="58" s="1"/>
  <c r="T9" i="58" s="1"/>
  <c r="T28" i="58" s="1"/>
  <c r="L12" i="58"/>
  <c r="L11" i="58" s="1"/>
  <c r="L10" i="58" s="1"/>
  <c r="L9" i="58" s="1"/>
  <c r="L28" i="58" s="1"/>
  <c r="P12" i="58"/>
  <c r="P11" i="58" s="1"/>
  <c r="P10" i="58" s="1"/>
  <c r="P9" i="58" s="1"/>
  <c r="P28" i="58" s="1"/>
  <c r="S12" i="58"/>
  <c r="S11" i="58" s="1"/>
  <c r="S10" i="58" s="1"/>
  <c r="S9" i="58" s="1"/>
  <c r="S28" i="58" s="1"/>
  <c r="K12" i="58"/>
  <c r="K11" i="58" s="1"/>
  <c r="K10" i="58" s="1"/>
  <c r="K9" i="58" s="1"/>
  <c r="K28" i="58" s="1"/>
  <c r="O12" i="58"/>
  <c r="O11" i="58" s="1"/>
  <c r="O10" i="58" s="1"/>
  <c r="O9" i="58" s="1"/>
  <c r="O28" i="58" s="1"/>
  <c r="R97" i="58"/>
  <c r="O97" i="58"/>
  <c r="O74" i="58" s="1"/>
  <c r="U97" i="58"/>
  <c r="U74" i="58" s="1"/>
  <c r="M97" i="58"/>
  <c r="M74" i="58" s="1"/>
  <c r="P97" i="58"/>
  <c r="T97" i="58"/>
  <c r="L97" i="58"/>
  <c r="L74" i="58" s="1"/>
  <c r="S97" i="58"/>
  <c r="S74" i="58" s="1"/>
  <c r="K97" i="58"/>
  <c r="K74" i="58" s="1"/>
  <c r="R74" i="58"/>
  <c r="V74" i="58"/>
  <c r="N74" i="58"/>
  <c r="T74" i="58"/>
  <c r="U30" i="58"/>
  <c r="M30" i="58"/>
  <c r="Q30" i="58"/>
  <c r="T30" i="58"/>
  <c r="O30" i="58"/>
  <c r="L30" i="58"/>
  <c r="R30" i="58"/>
  <c r="V30" i="58"/>
  <c r="N30" i="58"/>
  <c r="P30" i="58"/>
  <c r="Q74" i="58"/>
  <c r="P74" i="58"/>
  <c r="I87" i="58"/>
  <c r="E84" i="58"/>
  <c r="E81" i="58" s="1"/>
  <c r="E75" i="58" s="1"/>
  <c r="E30" i="58"/>
  <c r="I7" i="58"/>
  <c r="D5" i="58"/>
  <c r="D113" i="58"/>
  <c r="I114" i="58"/>
  <c r="W141" i="58"/>
  <c r="W149" i="58"/>
  <c r="W167" i="58"/>
  <c r="G30" i="58"/>
  <c r="I65" i="58"/>
  <c r="I76" i="58"/>
  <c r="I81" i="58"/>
  <c r="W198" i="58"/>
  <c r="W202" i="58"/>
  <c r="I123" i="58"/>
  <c r="W137" i="58"/>
  <c r="W145" i="58"/>
  <c r="D30" i="58"/>
  <c r="I38" i="58"/>
  <c r="I46" i="58"/>
  <c r="E49" i="58"/>
  <c r="I49" i="58" s="1"/>
  <c r="W191" i="58"/>
  <c r="J49" i="58"/>
  <c r="J75" i="58"/>
  <c r="I94" i="58"/>
  <c r="J97" i="58"/>
  <c r="W135" i="58"/>
  <c r="W139" i="58"/>
  <c r="W143" i="58"/>
  <c r="W147" i="58"/>
  <c r="J10" i="58"/>
  <c r="I84" i="58"/>
  <c r="I10" i="58"/>
  <c r="D9" i="58"/>
  <c r="I9" i="58" s="1"/>
  <c r="G75" i="58"/>
  <c r="G74" i="58" s="1"/>
  <c r="D106" i="58"/>
  <c r="I106" i="58" s="1"/>
  <c r="W189" i="58"/>
  <c r="H75" i="58"/>
  <c r="H74" i="58" s="1"/>
  <c r="I108" i="58"/>
  <c r="E107" i="58"/>
  <c r="E106" i="58" s="1"/>
  <c r="I91" i="58"/>
  <c r="W193" i="58"/>
  <c r="W203" i="58"/>
  <c r="D110" i="58"/>
  <c r="I110" i="58" s="1"/>
  <c r="W204" i="58"/>
  <c r="D246" i="58"/>
  <c r="D90" i="58"/>
  <c r="I90" i="58" s="1"/>
  <c r="W126" i="58"/>
  <c r="W180" i="58"/>
  <c r="D75" i="58"/>
  <c r="V6" i="54"/>
  <c r="V7" i="54"/>
  <c r="V8" i="54"/>
  <c r="I7" i="54"/>
  <c r="I6" i="54"/>
  <c r="D123" i="54"/>
  <c r="V205" i="54"/>
  <c r="I205" i="54"/>
  <c r="W205" i="54" s="1"/>
  <c r="V199" i="54"/>
  <c r="I199" i="54"/>
  <c r="V197" i="54"/>
  <c r="I197" i="54"/>
  <c r="I198" i="54"/>
  <c r="L198" i="54" s="1"/>
  <c r="V198" i="54" s="1"/>
  <c r="W198" i="54" s="1"/>
  <c r="V248" i="54"/>
  <c r="V247" i="54" s="1"/>
  <c r="K247" i="54"/>
  <c r="L247" i="54"/>
  <c r="M247" i="54"/>
  <c r="N247" i="54"/>
  <c r="O247" i="54"/>
  <c r="P247" i="54"/>
  <c r="Q247" i="54"/>
  <c r="R247" i="54"/>
  <c r="S247" i="54"/>
  <c r="T247" i="54"/>
  <c r="U247" i="54"/>
  <c r="J247" i="54"/>
  <c r="J246" i="54" s="1"/>
  <c r="I248" i="54"/>
  <c r="E249" i="54"/>
  <c r="F249" i="54"/>
  <c r="G249" i="54"/>
  <c r="H249" i="54"/>
  <c r="J249" i="54"/>
  <c r="K249" i="54"/>
  <c r="L249" i="54"/>
  <c r="M249" i="54"/>
  <c r="N249" i="54"/>
  <c r="O249" i="54"/>
  <c r="P249" i="54"/>
  <c r="Q249" i="54"/>
  <c r="R249" i="54"/>
  <c r="S249" i="54"/>
  <c r="T249" i="54"/>
  <c r="U249" i="54"/>
  <c r="D249" i="54"/>
  <c r="V259" i="54"/>
  <c r="I259" i="54"/>
  <c r="V258" i="54"/>
  <c r="I258" i="54"/>
  <c r="V257" i="54"/>
  <c r="I257" i="54"/>
  <c r="V256" i="54"/>
  <c r="I256" i="54"/>
  <c r="V255" i="54"/>
  <c r="I255" i="54"/>
  <c r="V254" i="54"/>
  <c r="I254" i="54"/>
  <c r="V253" i="54"/>
  <c r="I253" i="54"/>
  <c r="V252" i="54"/>
  <c r="I252" i="54"/>
  <c r="V251" i="54"/>
  <c r="I251" i="54"/>
  <c r="V250" i="54"/>
  <c r="I250" i="54"/>
  <c r="E123" i="54"/>
  <c r="F123" i="54"/>
  <c r="G123" i="54"/>
  <c r="H123" i="54"/>
  <c r="J123" i="54"/>
  <c r="N123" i="54"/>
  <c r="O123" i="54"/>
  <c r="P123" i="54"/>
  <c r="Q123" i="54"/>
  <c r="R123" i="54"/>
  <c r="S123" i="54"/>
  <c r="T123" i="54"/>
  <c r="U123" i="54"/>
  <c r="V245" i="54"/>
  <c r="I245" i="54"/>
  <c r="V244" i="54"/>
  <c r="I244" i="54"/>
  <c r="V243" i="54"/>
  <c r="I243" i="54"/>
  <c r="V242" i="54"/>
  <c r="I242" i="54"/>
  <c r="V241" i="54"/>
  <c r="I241" i="54"/>
  <c r="V240" i="54"/>
  <c r="I240" i="54"/>
  <c r="V239" i="54"/>
  <c r="I239" i="54"/>
  <c r="V238" i="54"/>
  <c r="I238" i="54"/>
  <c r="V237" i="54"/>
  <c r="I237" i="54"/>
  <c r="V236" i="54"/>
  <c r="I236" i="54"/>
  <c r="V235" i="54"/>
  <c r="I235" i="54"/>
  <c r="V234" i="54"/>
  <c r="I234" i="54"/>
  <c r="V233" i="54"/>
  <c r="I233" i="54"/>
  <c r="V232" i="54"/>
  <c r="I232" i="54"/>
  <c r="I231" i="54"/>
  <c r="L231" i="54" s="1"/>
  <c r="V231" i="54" s="1"/>
  <c r="I230" i="54"/>
  <c r="L230" i="54" s="1"/>
  <c r="V230" i="54" s="1"/>
  <c r="W230" i="54" s="1"/>
  <c r="I229" i="54"/>
  <c r="V228" i="54"/>
  <c r="I228" i="54"/>
  <c r="V227" i="54"/>
  <c r="I227" i="54"/>
  <c r="V226" i="54"/>
  <c r="I226" i="54"/>
  <c r="V225" i="54"/>
  <c r="I225" i="54"/>
  <c r="V224" i="54"/>
  <c r="I224" i="54"/>
  <c r="V223" i="54"/>
  <c r="I223" i="54"/>
  <c r="V222" i="54"/>
  <c r="I222" i="54"/>
  <c r="V221" i="54"/>
  <c r="I221" i="54"/>
  <c r="V220" i="54"/>
  <c r="I220" i="54"/>
  <c r="V219" i="54"/>
  <c r="I219" i="54"/>
  <c r="V218" i="54"/>
  <c r="I218" i="54"/>
  <c r="V217" i="54"/>
  <c r="I217" i="54"/>
  <c r="V216" i="54"/>
  <c r="I216" i="54"/>
  <c r="V215" i="54"/>
  <c r="I215" i="54"/>
  <c r="V214" i="54"/>
  <c r="I214" i="54"/>
  <c r="V213" i="54"/>
  <c r="I213" i="54"/>
  <c r="V212" i="54"/>
  <c r="I212" i="54"/>
  <c r="V211" i="54"/>
  <c r="I211" i="54"/>
  <c r="V210" i="54"/>
  <c r="I210" i="54"/>
  <c r="V209" i="54"/>
  <c r="I209" i="54"/>
  <c r="V208" i="54"/>
  <c r="I208" i="54"/>
  <c r="V207" i="54"/>
  <c r="I207" i="54"/>
  <c r="V206" i="54"/>
  <c r="I206" i="54"/>
  <c r="I204" i="54"/>
  <c r="I203" i="54"/>
  <c r="L203" i="54" s="1"/>
  <c r="V203" i="54" s="1"/>
  <c r="M202" i="54"/>
  <c r="L202" i="54"/>
  <c r="K202" i="54"/>
  <c r="I202" i="54"/>
  <c r="V201" i="54"/>
  <c r="I201" i="54"/>
  <c r="I200" i="54"/>
  <c r="L200" i="54" s="1"/>
  <c r="V200" i="54" s="1"/>
  <c r="V196" i="54"/>
  <c r="I196" i="54"/>
  <c r="V195" i="54"/>
  <c r="I195" i="54"/>
  <c r="I194" i="54"/>
  <c r="I193" i="54"/>
  <c r="L193" i="54" s="1"/>
  <c r="V193" i="54" s="1"/>
  <c r="W193" i="54" s="1"/>
  <c r="I192" i="54"/>
  <c r="I191" i="54"/>
  <c r="I190" i="54"/>
  <c r="L190" i="54" s="1"/>
  <c r="V190" i="54" s="1"/>
  <c r="W190" i="54" s="1"/>
  <c r="M189" i="54"/>
  <c r="L189" i="54"/>
  <c r="K189" i="54"/>
  <c r="I189" i="54"/>
  <c r="I188" i="54"/>
  <c r="L188" i="54" s="1"/>
  <c r="V188" i="54" s="1"/>
  <c r="I187" i="54"/>
  <c r="L187" i="54" s="1"/>
  <c r="V187" i="54" s="1"/>
  <c r="W187" i="54" s="1"/>
  <c r="I186" i="54"/>
  <c r="I185" i="54"/>
  <c r="I184" i="54"/>
  <c r="L184" i="54" s="1"/>
  <c r="V184" i="54" s="1"/>
  <c r="W184" i="54" s="1"/>
  <c r="I183" i="54"/>
  <c r="L183" i="54" s="1"/>
  <c r="V183" i="54" s="1"/>
  <c r="I182" i="54"/>
  <c r="I181" i="54"/>
  <c r="L181" i="54" s="1"/>
  <c r="V181" i="54" s="1"/>
  <c r="W181" i="54" s="1"/>
  <c r="M180" i="54"/>
  <c r="L180" i="54"/>
  <c r="K180" i="54"/>
  <c r="I180" i="54"/>
  <c r="V179" i="54"/>
  <c r="I179" i="54"/>
  <c r="V178" i="54"/>
  <c r="I178" i="54"/>
  <c r="V177" i="54"/>
  <c r="I177" i="54"/>
  <c r="V176" i="54"/>
  <c r="I176" i="54"/>
  <c r="V175" i="54"/>
  <c r="I175" i="54"/>
  <c r="V174" i="54"/>
  <c r="I174" i="54"/>
  <c r="V173" i="54"/>
  <c r="I173" i="54"/>
  <c r="V172" i="54"/>
  <c r="I172" i="54"/>
  <c r="V171" i="54"/>
  <c r="I171" i="54"/>
  <c r="V170" i="54"/>
  <c r="I170" i="54"/>
  <c r="V169" i="54"/>
  <c r="I169" i="54"/>
  <c r="I168" i="54"/>
  <c r="L168" i="54" s="1"/>
  <c r="V168" i="54" s="1"/>
  <c r="I167" i="54"/>
  <c r="L167" i="54" s="1"/>
  <c r="V167" i="54" s="1"/>
  <c r="W167" i="54" s="1"/>
  <c r="V166" i="54"/>
  <c r="I166" i="54"/>
  <c r="V165" i="54"/>
  <c r="I165" i="54"/>
  <c r="V164" i="54"/>
  <c r="I164" i="54"/>
  <c r="V163" i="54"/>
  <c r="I163" i="54"/>
  <c r="V162" i="54"/>
  <c r="I162" i="54"/>
  <c r="V161" i="54"/>
  <c r="I161" i="54"/>
  <c r="V160" i="54"/>
  <c r="I160" i="54"/>
  <c r="V159" i="54"/>
  <c r="I159" i="54"/>
  <c r="V158" i="54"/>
  <c r="I158" i="54"/>
  <c r="V157" i="54"/>
  <c r="I157" i="54"/>
  <c r="V156" i="54"/>
  <c r="I156" i="54"/>
  <c r="V155" i="54"/>
  <c r="I155" i="54"/>
  <c r="V154" i="54"/>
  <c r="I154" i="54"/>
  <c r="V153" i="54"/>
  <c r="I153" i="54"/>
  <c r="V152" i="54"/>
  <c r="I152" i="54"/>
  <c r="I151" i="54"/>
  <c r="L151" i="54" s="1"/>
  <c r="V151" i="54" s="1"/>
  <c r="W151" i="54" s="1"/>
  <c r="V150" i="54"/>
  <c r="I150" i="54"/>
  <c r="I149" i="54"/>
  <c r="L149" i="54" s="1"/>
  <c r="V149" i="54" s="1"/>
  <c r="I148" i="54"/>
  <c r="L148" i="54" s="1"/>
  <c r="V148" i="54" s="1"/>
  <c r="W148" i="54" s="1"/>
  <c r="I147" i="54"/>
  <c r="I146" i="54"/>
  <c r="L146" i="54" s="1"/>
  <c r="V146" i="54" s="1"/>
  <c r="I145" i="54"/>
  <c r="L145" i="54" s="1"/>
  <c r="V145" i="54" s="1"/>
  <c r="W145" i="54" s="1"/>
  <c r="I144" i="54"/>
  <c r="I143" i="54"/>
  <c r="L143" i="54" s="1"/>
  <c r="V143" i="54" s="1"/>
  <c r="I142" i="54"/>
  <c r="L142" i="54" s="1"/>
  <c r="V142" i="54" s="1"/>
  <c r="W142" i="54" s="1"/>
  <c r="I141" i="54"/>
  <c r="I140" i="54"/>
  <c r="L140" i="54" s="1"/>
  <c r="V140" i="54" s="1"/>
  <c r="I139" i="54"/>
  <c r="L139" i="54" s="1"/>
  <c r="V139" i="54" s="1"/>
  <c r="W139" i="54" s="1"/>
  <c r="I138" i="54"/>
  <c r="I137" i="54"/>
  <c r="I136" i="54"/>
  <c r="L136" i="54" s="1"/>
  <c r="V136" i="54" s="1"/>
  <c r="W136" i="54" s="1"/>
  <c r="I135" i="54"/>
  <c r="I134" i="54"/>
  <c r="L134" i="54" s="1"/>
  <c r="V134" i="54" s="1"/>
  <c r="I133" i="54"/>
  <c r="L133" i="54" s="1"/>
  <c r="V133" i="54" s="1"/>
  <c r="W133" i="54" s="1"/>
  <c r="I132" i="54"/>
  <c r="V131" i="54"/>
  <c r="I131" i="54"/>
  <c r="V130" i="54"/>
  <c r="I130" i="54"/>
  <c r="V129" i="54"/>
  <c r="I129" i="54"/>
  <c r="V128" i="54"/>
  <c r="I128" i="54"/>
  <c r="V127" i="54"/>
  <c r="I127" i="54"/>
  <c r="V126" i="54"/>
  <c r="I126" i="54"/>
  <c r="V125" i="54"/>
  <c r="I125" i="54"/>
  <c r="V124" i="54"/>
  <c r="I124" i="54"/>
  <c r="V116" i="54"/>
  <c r="L114" i="54"/>
  <c r="M114" i="54"/>
  <c r="N114" i="54"/>
  <c r="O114" i="54"/>
  <c r="P114" i="54"/>
  <c r="Q114" i="54"/>
  <c r="R114" i="54"/>
  <c r="S114" i="54"/>
  <c r="T114" i="54"/>
  <c r="U114" i="54"/>
  <c r="J114" i="54"/>
  <c r="J15" i="54"/>
  <c r="V117" i="54"/>
  <c r="V118" i="54"/>
  <c r="V120" i="54"/>
  <c r="V121" i="54"/>
  <c r="V122" i="54"/>
  <c r="K119" i="54"/>
  <c r="V119" i="54" s="1"/>
  <c r="V115" i="54"/>
  <c r="D114" i="54"/>
  <c r="I114" i="54" s="1"/>
  <c r="I122" i="54"/>
  <c r="I121" i="54"/>
  <c r="I120" i="54"/>
  <c r="I118" i="54"/>
  <c r="I119" i="54"/>
  <c r="I117" i="54"/>
  <c r="I116" i="54"/>
  <c r="I115" i="54"/>
  <c r="D247" i="54"/>
  <c r="S261" i="60" l="1"/>
  <c r="K261" i="60"/>
  <c r="N261" i="60"/>
  <c r="I81" i="60"/>
  <c r="V261" i="60"/>
  <c r="D74" i="60"/>
  <c r="D29" i="60" s="1"/>
  <c r="D260" i="60" s="1"/>
  <c r="I30" i="60"/>
  <c r="I107" i="60"/>
  <c r="E106" i="60"/>
  <c r="I106" i="60" s="1"/>
  <c r="I10" i="60"/>
  <c r="D9" i="60"/>
  <c r="I75" i="60"/>
  <c r="H74" i="59"/>
  <c r="H29" i="59" s="1"/>
  <c r="H260" i="59" s="1"/>
  <c r="H261" i="59" s="1"/>
  <c r="I75" i="59"/>
  <c r="I74" i="59" s="1"/>
  <c r="I10" i="59"/>
  <c r="D9" i="59"/>
  <c r="J261" i="59"/>
  <c r="I107" i="59"/>
  <c r="E106" i="59"/>
  <c r="I106" i="59" s="1"/>
  <c r="E74" i="59"/>
  <c r="E29" i="59" s="1"/>
  <c r="E260" i="59" s="1"/>
  <c r="E261" i="59" s="1"/>
  <c r="I84" i="59"/>
  <c r="D29" i="59"/>
  <c r="D260" i="59" s="1"/>
  <c r="I30" i="59"/>
  <c r="I87" i="59"/>
  <c r="V29" i="59"/>
  <c r="V260" i="59" s="1"/>
  <c r="V261" i="59" s="1"/>
  <c r="I81" i="59"/>
  <c r="S29" i="58"/>
  <c r="S260" i="58" s="1"/>
  <c r="S261" i="58" s="1"/>
  <c r="K29" i="58"/>
  <c r="K260" i="58" s="1"/>
  <c r="K261" i="58" s="1"/>
  <c r="N29" i="58"/>
  <c r="N260" i="58" s="1"/>
  <c r="N261" i="58" s="1"/>
  <c r="L29" i="58"/>
  <c r="L260" i="58" s="1"/>
  <c r="L261" i="58" s="1"/>
  <c r="U29" i="58"/>
  <c r="U260" i="58" s="1"/>
  <c r="U261" i="58" s="1"/>
  <c r="P29" i="58"/>
  <c r="P260" i="58" s="1"/>
  <c r="P261" i="58" s="1"/>
  <c r="T29" i="58"/>
  <c r="T260" i="58" s="1"/>
  <c r="T261" i="58" s="1"/>
  <c r="V29" i="58"/>
  <c r="V260" i="58" s="1"/>
  <c r="V261" i="58" s="1"/>
  <c r="Q29" i="58"/>
  <c r="Q260" i="58" s="1"/>
  <c r="Q261" i="58" s="1"/>
  <c r="O29" i="58"/>
  <c r="O260" i="58" s="1"/>
  <c r="O261" i="58" s="1"/>
  <c r="R29" i="58"/>
  <c r="R260" i="58" s="1"/>
  <c r="R261" i="58" s="1"/>
  <c r="M29" i="58"/>
  <c r="M260" i="58" s="1"/>
  <c r="M261" i="58" s="1"/>
  <c r="I30" i="58"/>
  <c r="J74" i="58"/>
  <c r="J9" i="58"/>
  <c r="I75" i="58"/>
  <c r="I74" i="58" s="1"/>
  <c r="D74" i="58"/>
  <c r="J30" i="58"/>
  <c r="W133" i="58"/>
  <c r="D28" i="58"/>
  <c r="I5" i="58"/>
  <c r="I28" i="58" s="1"/>
  <c r="E74" i="58"/>
  <c r="I113" i="58"/>
  <c r="W123" i="58"/>
  <c r="I107" i="58"/>
  <c r="W199" i="54"/>
  <c r="W197" i="54"/>
  <c r="I249" i="54"/>
  <c r="V249" i="54"/>
  <c r="M123" i="54"/>
  <c r="K123" i="54"/>
  <c r="W234" i="54"/>
  <c r="W240" i="54"/>
  <c r="I123" i="54"/>
  <c r="D113" i="54"/>
  <c r="W124" i="54"/>
  <c r="W243" i="54"/>
  <c r="W207" i="54"/>
  <c r="W127" i="54"/>
  <c r="W130" i="54"/>
  <c r="W195" i="54"/>
  <c r="W236" i="54"/>
  <c r="W242" i="54"/>
  <c r="W157" i="54"/>
  <c r="W163" i="54"/>
  <c r="W170" i="54"/>
  <c r="W176" i="54"/>
  <c r="W154" i="54"/>
  <c r="W174" i="54"/>
  <c r="W233" i="54"/>
  <c r="W129" i="54"/>
  <c r="W211" i="54"/>
  <c r="W217" i="54"/>
  <c r="W223" i="54"/>
  <c r="W160" i="54"/>
  <c r="W166" i="54"/>
  <c r="W173" i="54"/>
  <c r="W179" i="54"/>
  <c r="W206" i="54"/>
  <c r="W218" i="54"/>
  <c r="W224" i="54"/>
  <c r="W155" i="54"/>
  <c r="W245" i="54"/>
  <c r="W158" i="54"/>
  <c r="W164" i="54"/>
  <c r="W171" i="54"/>
  <c r="W177" i="54"/>
  <c r="W131" i="54"/>
  <c r="V202" i="54"/>
  <c r="W202" i="54" s="1"/>
  <c r="W235" i="54"/>
  <c r="W241" i="54"/>
  <c r="W153" i="54"/>
  <c r="W159" i="54"/>
  <c r="W172" i="54"/>
  <c r="W216" i="54"/>
  <c r="W222" i="54"/>
  <c r="W228" i="54"/>
  <c r="W196" i="54"/>
  <c r="W238" i="54"/>
  <c r="W244" i="54"/>
  <c r="W169" i="54"/>
  <c r="W175" i="54"/>
  <c r="V189" i="54"/>
  <c r="W189" i="54" s="1"/>
  <c r="W225" i="54"/>
  <c r="W150" i="54"/>
  <c r="W152" i="54"/>
  <c r="W188" i="54"/>
  <c r="W209" i="54"/>
  <c r="W215" i="54"/>
  <c r="W221" i="54"/>
  <c r="W227" i="54"/>
  <c r="L182" i="54"/>
  <c r="V182" i="54" s="1"/>
  <c r="W182" i="54" s="1"/>
  <c r="W125" i="54"/>
  <c r="W165" i="54"/>
  <c r="W178" i="54"/>
  <c r="W237" i="54"/>
  <c r="W126" i="54"/>
  <c r="W212" i="54"/>
  <c r="W232" i="54"/>
  <c r="W161" i="54"/>
  <c r="L185" i="54"/>
  <c r="V185" i="54" s="1"/>
  <c r="W185" i="54" s="1"/>
  <c r="W201" i="54"/>
  <c r="W213" i="54"/>
  <c r="W219" i="54"/>
  <c r="W156" i="54"/>
  <c r="W239" i="54"/>
  <c r="W128" i="54"/>
  <c r="W162" i="54"/>
  <c r="V180" i="54"/>
  <c r="W180" i="54" s="1"/>
  <c r="L186" i="54"/>
  <c r="V186" i="54" s="1"/>
  <c r="W186" i="54" s="1"/>
  <c r="W208" i="54"/>
  <c r="W214" i="54"/>
  <c r="W220" i="54"/>
  <c r="W226" i="54"/>
  <c r="W183" i="54"/>
  <c r="W200" i="54"/>
  <c r="L137" i="54"/>
  <c r="V137" i="54" s="1"/>
  <c r="W137" i="54" s="1"/>
  <c r="L191" i="54"/>
  <c r="V191" i="54" s="1"/>
  <c r="W191" i="54" s="1"/>
  <c r="L194" i="54"/>
  <c r="V194" i="54" s="1"/>
  <c r="W194" i="54" s="1"/>
  <c r="W134" i="54"/>
  <c r="W140" i="54"/>
  <c r="W143" i="54"/>
  <c r="W146" i="54"/>
  <c r="W149" i="54"/>
  <c r="W168" i="54"/>
  <c r="W203" i="54"/>
  <c r="W231" i="54"/>
  <c r="L132" i="54"/>
  <c r="L135" i="54"/>
  <c r="V135" i="54" s="1"/>
  <c r="W135" i="54" s="1"/>
  <c r="L138" i="54"/>
  <c r="V138" i="54" s="1"/>
  <c r="W138" i="54" s="1"/>
  <c r="L141" i="54"/>
  <c r="V141" i="54" s="1"/>
  <c r="W141" i="54" s="1"/>
  <c r="L144" i="54"/>
  <c r="V144" i="54" s="1"/>
  <c r="W144" i="54" s="1"/>
  <c r="L147" i="54"/>
  <c r="V147" i="54" s="1"/>
  <c r="W147" i="54" s="1"/>
  <c r="L204" i="54"/>
  <c r="V204" i="54" s="1"/>
  <c r="W204" i="54" s="1"/>
  <c r="L229" i="54"/>
  <c r="V229" i="54" s="1"/>
  <c r="W229" i="54" s="1"/>
  <c r="L192" i="54"/>
  <c r="V192" i="54" s="1"/>
  <c r="W192" i="54" s="1"/>
  <c r="K114" i="54"/>
  <c r="V114" i="54"/>
  <c r="U20" i="54"/>
  <c r="K20" i="54"/>
  <c r="L20" i="54"/>
  <c r="M20" i="54"/>
  <c r="N20" i="54"/>
  <c r="O20" i="54"/>
  <c r="P20" i="54"/>
  <c r="Q20" i="54"/>
  <c r="R20" i="54"/>
  <c r="S20" i="54"/>
  <c r="T20" i="54"/>
  <c r="J20" i="54"/>
  <c r="K19" i="54"/>
  <c r="L19" i="54"/>
  <c r="M19" i="54"/>
  <c r="N19" i="54"/>
  <c r="O19" i="54"/>
  <c r="P19" i="54"/>
  <c r="Q19" i="54"/>
  <c r="R19" i="54"/>
  <c r="S19" i="54"/>
  <c r="T19" i="54"/>
  <c r="U19" i="54"/>
  <c r="L16" i="54"/>
  <c r="N16" i="54"/>
  <c r="O16" i="54"/>
  <c r="P16" i="54"/>
  <c r="Q16" i="54"/>
  <c r="R16" i="54"/>
  <c r="S16" i="54"/>
  <c r="T16" i="54"/>
  <c r="U16" i="54"/>
  <c r="M88" i="54"/>
  <c r="M16" i="54" s="1"/>
  <c r="K82" i="54"/>
  <c r="E74" i="60" l="1"/>
  <c r="E29" i="60" s="1"/>
  <c r="E260" i="60" s="1"/>
  <c r="E261" i="60" s="1"/>
  <c r="I74" i="60"/>
  <c r="I29" i="60" s="1"/>
  <c r="I260" i="60" s="1"/>
  <c r="I9" i="60"/>
  <c r="I28" i="60" s="1"/>
  <c r="D28" i="60"/>
  <c r="D261" i="60" s="1"/>
  <c r="I29" i="59"/>
  <c r="I260" i="59" s="1"/>
  <c r="I9" i="59"/>
  <c r="I28" i="59" s="1"/>
  <c r="I261" i="59" s="1"/>
  <c r="D28" i="59"/>
  <c r="D261" i="59" s="1"/>
  <c r="V132" i="54"/>
  <c r="W132" i="54" s="1"/>
  <c r="L123" i="54"/>
  <c r="K16" i="54"/>
  <c r="L18" i="54"/>
  <c r="M18" i="54"/>
  <c r="N18" i="54"/>
  <c r="O18" i="54"/>
  <c r="P18" i="54"/>
  <c r="Q18" i="54"/>
  <c r="R18" i="54"/>
  <c r="S18" i="54"/>
  <c r="T18" i="54"/>
  <c r="U18" i="54"/>
  <c r="K18" i="54"/>
  <c r="D12" i="54"/>
  <c r="D98" i="54"/>
  <c r="I20" i="54"/>
  <c r="M13" i="54"/>
  <c r="K22" i="54"/>
  <c r="L22" i="54"/>
  <c r="M22" i="54"/>
  <c r="N22" i="54"/>
  <c r="O22" i="54"/>
  <c r="P22" i="54"/>
  <c r="Q22" i="54"/>
  <c r="R22" i="54"/>
  <c r="S22" i="54"/>
  <c r="T22" i="54"/>
  <c r="U22" i="54"/>
  <c r="J21" i="54"/>
  <c r="J19" i="54"/>
  <c r="I19" i="54"/>
  <c r="J18" i="54"/>
  <c r="K17" i="54"/>
  <c r="L17" i="54"/>
  <c r="M17" i="54"/>
  <c r="N17" i="54"/>
  <c r="O17" i="54"/>
  <c r="P17" i="54"/>
  <c r="Q17" i="54"/>
  <c r="R17" i="54"/>
  <c r="S17" i="54"/>
  <c r="T17" i="54"/>
  <c r="U17" i="54"/>
  <c r="J17" i="54"/>
  <c r="J16" i="54"/>
  <c r="K14" i="54"/>
  <c r="L15" i="54"/>
  <c r="M15" i="54"/>
  <c r="N15" i="54"/>
  <c r="O15" i="54"/>
  <c r="P15" i="54"/>
  <c r="Q15" i="54"/>
  <c r="R15" i="54"/>
  <c r="S15" i="54"/>
  <c r="T15" i="54"/>
  <c r="U15" i="54"/>
  <c r="K15" i="54"/>
  <c r="L13" i="54"/>
  <c r="J14" i="54"/>
  <c r="R13" i="54"/>
  <c r="Q13" i="54"/>
  <c r="P13" i="54"/>
  <c r="O13" i="54"/>
  <c r="K13" i="54"/>
  <c r="N13" i="54"/>
  <c r="S13" i="54"/>
  <c r="T13" i="54"/>
  <c r="U13" i="54"/>
  <c r="J13" i="54"/>
  <c r="U31" i="54"/>
  <c r="K57" i="54"/>
  <c r="K54" i="54"/>
  <c r="L54" i="54"/>
  <c r="M54" i="54"/>
  <c r="N54" i="54"/>
  <c r="O54" i="54"/>
  <c r="P54" i="54"/>
  <c r="Q54" i="54"/>
  <c r="R54" i="54"/>
  <c r="S54" i="54"/>
  <c r="T54" i="54"/>
  <c r="U54" i="54"/>
  <c r="K50" i="54"/>
  <c r="L50" i="54"/>
  <c r="M50" i="54"/>
  <c r="N50" i="54"/>
  <c r="O50" i="54"/>
  <c r="P50" i="54"/>
  <c r="Q50" i="54"/>
  <c r="R50" i="54"/>
  <c r="S50" i="54"/>
  <c r="T50" i="54"/>
  <c r="U50" i="54"/>
  <c r="K46" i="54"/>
  <c r="L46" i="54"/>
  <c r="M46" i="54"/>
  <c r="N46" i="54"/>
  <c r="O46" i="54"/>
  <c r="P46" i="54"/>
  <c r="Q46" i="54"/>
  <c r="R46" i="54"/>
  <c r="S46" i="54"/>
  <c r="T46" i="54"/>
  <c r="U46" i="54"/>
  <c r="M38" i="54"/>
  <c r="N38" i="54"/>
  <c r="O38" i="54"/>
  <c r="P38" i="54"/>
  <c r="Q38" i="54"/>
  <c r="R38" i="54"/>
  <c r="S38" i="54"/>
  <c r="T38" i="54"/>
  <c r="U38" i="54"/>
  <c r="K67" i="54"/>
  <c r="L67" i="54"/>
  <c r="M67" i="54"/>
  <c r="N67" i="54"/>
  <c r="O67" i="54"/>
  <c r="P67" i="54"/>
  <c r="Q67" i="54"/>
  <c r="R67" i="54"/>
  <c r="S67" i="54"/>
  <c r="T67" i="54"/>
  <c r="U67" i="54"/>
  <c r="K65" i="54"/>
  <c r="L65" i="54"/>
  <c r="M65" i="54"/>
  <c r="N65" i="54"/>
  <c r="O65" i="54"/>
  <c r="P65" i="54"/>
  <c r="Q65" i="54"/>
  <c r="R65" i="54"/>
  <c r="S65" i="54"/>
  <c r="T65" i="54"/>
  <c r="U65" i="54"/>
  <c r="J67" i="54"/>
  <c r="J65" i="54"/>
  <c r="K38" i="54"/>
  <c r="L38" i="54"/>
  <c r="K31" i="54"/>
  <c r="L31" i="54"/>
  <c r="M31" i="54"/>
  <c r="N31" i="54"/>
  <c r="O31" i="54"/>
  <c r="P31" i="54"/>
  <c r="Q31" i="54"/>
  <c r="R31" i="54"/>
  <c r="S31" i="54"/>
  <c r="T31" i="54"/>
  <c r="J57" i="54"/>
  <c r="J54" i="54"/>
  <c r="J50" i="54"/>
  <c r="V64" i="54"/>
  <c r="U61" i="54"/>
  <c r="U57" i="54" s="1"/>
  <c r="T61" i="54"/>
  <c r="T14" i="54" s="1"/>
  <c r="S61" i="54"/>
  <c r="S14" i="54" s="1"/>
  <c r="R61" i="54"/>
  <c r="R57" i="54" s="1"/>
  <c r="Q61" i="54"/>
  <c r="Q57" i="54" s="1"/>
  <c r="P61" i="54"/>
  <c r="P57" i="54" s="1"/>
  <c r="O61" i="54"/>
  <c r="O57" i="54" s="1"/>
  <c r="N61" i="54"/>
  <c r="N57" i="54" s="1"/>
  <c r="M61" i="54"/>
  <c r="M57" i="54" s="1"/>
  <c r="L61" i="54"/>
  <c r="L57" i="54" s="1"/>
  <c r="V53" i="54"/>
  <c r="I261" i="60" l="1"/>
  <c r="R14" i="54"/>
  <c r="U14" i="54"/>
  <c r="Q14" i="54"/>
  <c r="P14" i="54"/>
  <c r="O14" i="54"/>
  <c r="M14" i="54"/>
  <c r="N14" i="54"/>
  <c r="L14" i="54"/>
  <c r="T57" i="54"/>
  <c r="T49" i="54" s="1"/>
  <c r="T30" i="54" s="1"/>
  <c r="S57" i="54"/>
  <c r="S49" i="54" s="1"/>
  <c r="S30" i="54" s="1"/>
  <c r="V20" i="54"/>
  <c r="M49" i="54"/>
  <c r="M30" i="54" s="1"/>
  <c r="J49" i="54"/>
  <c r="N49" i="54"/>
  <c r="N30" i="54" s="1"/>
  <c r="O49" i="54"/>
  <c r="O30" i="54" s="1"/>
  <c r="K49" i="54"/>
  <c r="K30" i="54" s="1"/>
  <c r="P49" i="54"/>
  <c r="P30" i="54" s="1"/>
  <c r="Q49" i="54"/>
  <c r="Q30" i="54" s="1"/>
  <c r="U49" i="54"/>
  <c r="U30" i="54" s="1"/>
  <c r="R49" i="54"/>
  <c r="R30" i="54" s="1"/>
  <c r="L49" i="54"/>
  <c r="L30" i="54" s="1"/>
  <c r="V77" i="54" l="1"/>
  <c r="V78" i="54"/>
  <c r="V37" i="54" l="1"/>
  <c r="V36" i="54"/>
  <c r="V35" i="54"/>
  <c r="V32" i="54"/>
  <c r="V33" i="54"/>
  <c r="V34" i="54"/>
  <c r="J98" i="54" l="1"/>
  <c r="I112" i="54"/>
  <c r="I103" i="54"/>
  <c r="R103" i="54" s="1"/>
  <c r="V100" i="54"/>
  <c r="K98" i="54"/>
  <c r="L98" i="54"/>
  <c r="M98" i="54"/>
  <c r="N98" i="54"/>
  <c r="O98" i="54"/>
  <c r="P98" i="54"/>
  <c r="Q98" i="54"/>
  <c r="R98" i="54"/>
  <c r="S98" i="54"/>
  <c r="T98" i="54"/>
  <c r="U98" i="54"/>
  <c r="E98" i="54"/>
  <c r="F98" i="54"/>
  <c r="G98" i="54"/>
  <c r="H98" i="54"/>
  <c r="V101" i="54"/>
  <c r="I101" i="54"/>
  <c r="K94" i="54"/>
  <c r="J94" i="54"/>
  <c r="V96" i="54"/>
  <c r="I96" i="54"/>
  <c r="V95" i="54"/>
  <c r="I95" i="54"/>
  <c r="U94" i="54"/>
  <c r="T94" i="54"/>
  <c r="S94" i="54"/>
  <c r="R94" i="54"/>
  <c r="Q94" i="54"/>
  <c r="P94" i="54"/>
  <c r="O94" i="54"/>
  <c r="N94" i="54"/>
  <c r="M94" i="54"/>
  <c r="L94" i="54"/>
  <c r="H94" i="54"/>
  <c r="G94" i="54"/>
  <c r="F94" i="54"/>
  <c r="E94" i="54"/>
  <c r="D94" i="54"/>
  <c r="D91" i="54"/>
  <c r="J76" i="54"/>
  <c r="J79" i="54"/>
  <c r="K81" i="54"/>
  <c r="L81" i="54"/>
  <c r="M81" i="54"/>
  <c r="N81" i="54"/>
  <c r="O81" i="54"/>
  <c r="P81" i="54"/>
  <c r="Q81" i="54"/>
  <c r="R81" i="54"/>
  <c r="S81" i="54"/>
  <c r="T81" i="54"/>
  <c r="U81" i="54"/>
  <c r="J81" i="54"/>
  <c r="K84" i="54"/>
  <c r="L84" i="54"/>
  <c r="M84" i="54"/>
  <c r="N84" i="54"/>
  <c r="O84" i="54"/>
  <c r="P84" i="54"/>
  <c r="Q84" i="54"/>
  <c r="R84" i="54"/>
  <c r="S84" i="54"/>
  <c r="T84" i="54"/>
  <c r="U84" i="54"/>
  <c r="J84" i="54"/>
  <c r="K87" i="54"/>
  <c r="L87" i="54"/>
  <c r="M87" i="54"/>
  <c r="N87" i="54"/>
  <c r="O87" i="54"/>
  <c r="P87" i="54"/>
  <c r="Q87" i="54"/>
  <c r="R87" i="54"/>
  <c r="S87" i="54"/>
  <c r="T87" i="54"/>
  <c r="U87" i="54"/>
  <c r="J87" i="54"/>
  <c r="D87" i="54"/>
  <c r="D76" i="54"/>
  <c r="D79" i="54"/>
  <c r="D81" i="54"/>
  <c r="D84" i="54"/>
  <c r="V89" i="54"/>
  <c r="I89" i="54"/>
  <c r="V88" i="54"/>
  <c r="I88" i="54"/>
  <c r="V85" i="54"/>
  <c r="I85" i="54"/>
  <c r="V82" i="54"/>
  <c r="I82" i="54"/>
  <c r="K79" i="54"/>
  <c r="L79" i="54"/>
  <c r="M79" i="54"/>
  <c r="N79" i="54"/>
  <c r="O79" i="54"/>
  <c r="P79" i="54"/>
  <c r="Q79" i="54"/>
  <c r="R79" i="54"/>
  <c r="T79" i="54"/>
  <c r="U79" i="54"/>
  <c r="D31" i="54"/>
  <c r="D38" i="54"/>
  <c r="D46" i="54"/>
  <c r="D50" i="54"/>
  <c r="D54" i="54"/>
  <c r="D57" i="54"/>
  <c r="E57" i="54"/>
  <c r="F57" i="54"/>
  <c r="G57" i="54"/>
  <c r="H57" i="54"/>
  <c r="I64" i="54"/>
  <c r="V60" i="54"/>
  <c r="I60" i="54"/>
  <c r="I53" i="54"/>
  <c r="E50" i="54"/>
  <c r="F50" i="54"/>
  <c r="G50" i="54"/>
  <c r="H50" i="54"/>
  <c r="E54" i="54"/>
  <c r="F54" i="54"/>
  <c r="G54" i="54"/>
  <c r="H54" i="54"/>
  <c r="V56" i="54"/>
  <c r="I56" i="54"/>
  <c r="V52" i="54"/>
  <c r="I52" i="54"/>
  <c r="D90" i="54" l="1"/>
  <c r="J75" i="54"/>
  <c r="D75" i="54"/>
  <c r="I94" i="54"/>
  <c r="V94" i="54"/>
  <c r="V87" i="54"/>
  <c r="J31" i="54" l="1"/>
  <c r="K107" i="54"/>
  <c r="L107" i="54"/>
  <c r="M107" i="54"/>
  <c r="N107" i="54"/>
  <c r="O107" i="54"/>
  <c r="P107" i="54"/>
  <c r="Q107" i="54"/>
  <c r="R107" i="54"/>
  <c r="S107" i="54"/>
  <c r="T107" i="54"/>
  <c r="U107" i="54"/>
  <c r="V105" i="54"/>
  <c r="V103" i="54"/>
  <c r="K104" i="54"/>
  <c r="L104" i="54"/>
  <c r="M104" i="54"/>
  <c r="N104" i="54"/>
  <c r="O104" i="54"/>
  <c r="P104" i="54"/>
  <c r="Q104" i="54"/>
  <c r="R104" i="54"/>
  <c r="S104" i="54"/>
  <c r="T104" i="54"/>
  <c r="U104" i="54"/>
  <c r="J104" i="54"/>
  <c r="K102" i="54"/>
  <c r="L102" i="54"/>
  <c r="M102" i="54"/>
  <c r="N102" i="54"/>
  <c r="O102" i="54"/>
  <c r="P102" i="54"/>
  <c r="Q102" i="54"/>
  <c r="R102" i="54"/>
  <c r="S102" i="54"/>
  <c r="T102" i="54"/>
  <c r="U102" i="54"/>
  <c r="J102" i="54"/>
  <c r="K91" i="54"/>
  <c r="K90" i="54" s="1"/>
  <c r="L91" i="54"/>
  <c r="L90" i="54" s="1"/>
  <c r="M91" i="54"/>
  <c r="M90" i="54" s="1"/>
  <c r="N91" i="54"/>
  <c r="N90" i="54" s="1"/>
  <c r="O91" i="54"/>
  <c r="O90" i="54" s="1"/>
  <c r="P91" i="54"/>
  <c r="P90" i="54" s="1"/>
  <c r="Q91" i="54"/>
  <c r="Q90" i="54" s="1"/>
  <c r="R91" i="54"/>
  <c r="R90" i="54" s="1"/>
  <c r="S91" i="54"/>
  <c r="S90" i="54" s="1"/>
  <c r="T91" i="54"/>
  <c r="T90" i="54" s="1"/>
  <c r="U91" i="54"/>
  <c r="U90" i="54" s="1"/>
  <c r="I100" i="54"/>
  <c r="I99" i="54"/>
  <c r="K76" i="54"/>
  <c r="K75" i="54" s="1"/>
  <c r="L76" i="54"/>
  <c r="L75" i="54" s="1"/>
  <c r="M76" i="54"/>
  <c r="M75" i="54" s="1"/>
  <c r="N76" i="54"/>
  <c r="N75" i="54" s="1"/>
  <c r="O76" i="54"/>
  <c r="O75" i="54" s="1"/>
  <c r="P76" i="54"/>
  <c r="P75" i="54" s="1"/>
  <c r="Q76" i="54"/>
  <c r="Q75" i="54" s="1"/>
  <c r="R76" i="54"/>
  <c r="R75" i="54" s="1"/>
  <c r="S76" i="54"/>
  <c r="S75" i="54" s="1"/>
  <c r="T76" i="54"/>
  <c r="T75" i="54" s="1"/>
  <c r="U76" i="54"/>
  <c r="U75" i="54" s="1"/>
  <c r="K97" i="54" l="1"/>
  <c r="M97" i="54"/>
  <c r="S97" i="54"/>
  <c r="R97" i="54"/>
  <c r="P97" i="54"/>
  <c r="Q97" i="54"/>
  <c r="J97" i="54"/>
  <c r="O97" i="54"/>
  <c r="N97" i="54"/>
  <c r="U97" i="54"/>
  <c r="I98" i="54"/>
  <c r="T97" i="54"/>
  <c r="L97" i="54"/>
  <c r="J22" i="54"/>
  <c r="J12" i="54" s="1"/>
  <c r="K21" i="54"/>
  <c r="K12" i="54" s="1"/>
  <c r="L12" i="54"/>
  <c r="M12" i="54"/>
  <c r="N12" i="54"/>
  <c r="O12" i="54"/>
  <c r="P12" i="54"/>
  <c r="Q12" i="54"/>
  <c r="R12" i="54"/>
  <c r="S21" i="54"/>
  <c r="S12" i="54" s="1"/>
  <c r="T21" i="54"/>
  <c r="T12" i="54" s="1"/>
  <c r="U21" i="54"/>
  <c r="U12" i="54" s="1"/>
  <c r="V80" i="54"/>
  <c r="V92" i="54"/>
  <c r="V93" i="54"/>
  <c r="V102" i="54"/>
  <c r="V104" i="54"/>
  <c r="K111" i="54"/>
  <c r="K110" i="54" s="1"/>
  <c r="L111" i="54"/>
  <c r="L110" i="54" s="1"/>
  <c r="M111" i="54"/>
  <c r="M110" i="54" s="1"/>
  <c r="N111" i="54"/>
  <c r="N110" i="54" s="1"/>
  <c r="O111" i="54"/>
  <c r="O110" i="54" s="1"/>
  <c r="P111" i="54"/>
  <c r="P110" i="54" s="1"/>
  <c r="Q111" i="54"/>
  <c r="Q110" i="54" s="1"/>
  <c r="R111" i="54"/>
  <c r="R110" i="54" s="1"/>
  <c r="S111" i="54"/>
  <c r="S110" i="54" s="1"/>
  <c r="T111" i="54"/>
  <c r="T110" i="54" s="1"/>
  <c r="U111" i="54"/>
  <c r="U110" i="54" s="1"/>
  <c r="J111" i="54"/>
  <c r="J110" i="54" s="1"/>
  <c r="F111" i="54"/>
  <c r="F110" i="54" s="1"/>
  <c r="G111" i="54"/>
  <c r="G110" i="54" s="1"/>
  <c r="H111" i="54"/>
  <c r="H110" i="54" s="1"/>
  <c r="E111" i="54"/>
  <c r="E110" i="54" s="1"/>
  <c r="D111" i="54"/>
  <c r="D110" i="54" s="1"/>
  <c r="I105" i="54"/>
  <c r="H104" i="54"/>
  <c r="G104" i="54"/>
  <c r="F104" i="54"/>
  <c r="E104" i="54"/>
  <c r="D104" i="54"/>
  <c r="E102" i="54"/>
  <c r="F102" i="54"/>
  <c r="G102" i="54"/>
  <c r="H102" i="54"/>
  <c r="D102" i="54"/>
  <c r="V12" i="54" l="1"/>
  <c r="E97" i="54"/>
  <c r="D97" i="54"/>
  <c r="H97" i="54"/>
  <c r="F97" i="54"/>
  <c r="G97" i="54"/>
  <c r="V110" i="54"/>
  <c r="V111" i="54"/>
  <c r="V15" i="54"/>
  <c r="V98" i="54"/>
  <c r="I104" i="54"/>
  <c r="I102" i="54"/>
  <c r="I97" i="54" l="1"/>
  <c r="V86" i="54"/>
  <c r="I86" i="54"/>
  <c r="V83" i="54"/>
  <c r="I83" i="54"/>
  <c r="I77" i="54"/>
  <c r="I78" i="54"/>
  <c r="D67" i="54"/>
  <c r="V69" i="54"/>
  <c r="I69" i="54"/>
  <c r="I62" i="54"/>
  <c r="T106" i="54"/>
  <c r="T74" i="54" s="1"/>
  <c r="I66" i="54"/>
  <c r="S106" i="54"/>
  <c r="S74" i="54" s="1"/>
  <c r="R106" i="54"/>
  <c r="R74" i="54" s="1"/>
  <c r="Q106" i="54"/>
  <c r="Q74" i="54" s="1"/>
  <c r="P106" i="54"/>
  <c r="P74" i="54" s="1"/>
  <c r="P260" i="54" s="1"/>
  <c r="O106" i="54"/>
  <c r="O74" i="54" s="1"/>
  <c r="O113" i="54"/>
  <c r="N106" i="54"/>
  <c r="N74" i="54" s="1"/>
  <c r="M106" i="54"/>
  <c r="M74" i="54" s="1"/>
  <c r="V55" i="54"/>
  <c r="L106" i="54"/>
  <c r="L74" i="54" s="1"/>
  <c r="K106" i="54"/>
  <c r="K74" i="54" s="1"/>
  <c r="J38" i="54"/>
  <c r="J46" i="54"/>
  <c r="J91" i="54"/>
  <c r="J90" i="54" s="1"/>
  <c r="J74" i="54" s="1"/>
  <c r="I2" i="57"/>
  <c r="I3" i="57"/>
  <c r="I4" i="57"/>
  <c r="I5" i="57"/>
  <c r="I11" i="57" s="1"/>
  <c r="I6" i="57"/>
  <c r="I7" i="57"/>
  <c r="I8" i="57"/>
  <c r="I9" i="57"/>
  <c r="I10" i="57"/>
  <c r="D11" i="57"/>
  <c r="I12" i="54"/>
  <c r="V63" i="54"/>
  <c r="V61" i="54"/>
  <c r="V59" i="54"/>
  <c r="V58" i="54"/>
  <c r="F65" i="54"/>
  <c r="G65" i="54"/>
  <c r="H65" i="54"/>
  <c r="D65" i="54"/>
  <c r="E79" i="54"/>
  <c r="F79" i="54"/>
  <c r="G79" i="54"/>
  <c r="H79" i="54"/>
  <c r="E91" i="54"/>
  <c r="E90" i="54" s="1"/>
  <c r="F91" i="54"/>
  <c r="F90" i="54" s="1"/>
  <c r="G91" i="54"/>
  <c r="G90" i="54" s="1"/>
  <c r="H91" i="54"/>
  <c r="H90" i="54" s="1"/>
  <c r="I93" i="54"/>
  <c r="I92" i="54"/>
  <c r="I14" i="54"/>
  <c r="I15" i="54"/>
  <c r="I16" i="54"/>
  <c r="I17" i="54"/>
  <c r="I18" i="54"/>
  <c r="I21" i="54"/>
  <c r="I22" i="54"/>
  <c r="I13" i="54"/>
  <c r="E9" i="54"/>
  <c r="F9" i="54"/>
  <c r="G9" i="54"/>
  <c r="G28" i="54" s="1"/>
  <c r="H9" i="54"/>
  <c r="H28" i="54" s="1"/>
  <c r="I70" i="54"/>
  <c r="V70" i="54"/>
  <c r="I35" i="54"/>
  <c r="I72" i="54"/>
  <c r="V72" i="54"/>
  <c r="I47" i="54"/>
  <c r="V47" i="54"/>
  <c r="V112" i="54"/>
  <c r="V99" i="54"/>
  <c r="X99" i="54" s="1"/>
  <c r="X100" i="54" s="1"/>
  <c r="V73" i="54"/>
  <c r="V51" i="54"/>
  <c r="V50" i="54" s="1"/>
  <c r="V48" i="54"/>
  <c r="V45" i="54"/>
  <c r="V44" i="54"/>
  <c r="V43" i="54"/>
  <c r="V42" i="54"/>
  <c r="V40" i="54"/>
  <c r="V39" i="54"/>
  <c r="I48" i="54"/>
  <c r="I45" i="54"/>
  <c r="I44" i="54"/>
  <c r="I43" i="54"/>
  <c r="I42" i="54"/>
  <c r="I41" i="54"/>
  <c r="I40" i="54"/>
  <c r="I39" i="54"/>
  <c r="I37" i="54"/>
  <c r="I36" i="54"/>
  <c r="I34" i="54"/>
  <c r="I33" i="54"/>
  <c r="I32" i="54"/>
  <c r="I68" i="54"/>
  <c r="E67" i="54"/>
  <c r="H67" i="54"/>
  <c r="G67" i="54"/>
  <c r="F67" i="54"/>
  <c r="E71" i="54"/>
  <c r="F71" i="54"/>
  <c r="G71" i="54"/>
  <c r="H71" i="54"/>
  <c r="I55" i="54"/>
  <c r="I110" i="54"/>
  <c r="U106" i="54"/>
  <c r="U74" i="54" s="1"/>
  <c r="I109" i="54"/>
  <c r="V25" i="54"/>
  <c r="I25" i="54"/>
  <c r="V26" i="54"/>
  <c r="V27" i="54"/>
  <c r="D24" i="54"/>
  <c r="E5" i="54"/>
  <c r="I8" i="54"/>
  <c r="I26" i="54"/>
  <c r="I27" i="54"/>
  <c r="H46" i="54"/>
  <c r="G46" i="54"/>
  <c r="F46" i="54"/>
  <c r="E46" i="54"/>
  <c r="H38" i="54"/>
  <c r="G38" i="54"/>
  <c r="F38" i="54"/>
  <c r="E38" i="54"/>
  <c r="H31" i="54"/>
  <c r="G31" i="54"/>
  <c r="F31" i="54"/>
  <c r="E31" i="54"/>
  <c r="H108" i="54"/>
  <c r="H107" i="54" s="1"/>
  <c r="H106" i="54" s="1"/>
  <c r="G108" i="54"/>
  <c r="G107" i="54" s="1"/>
  <c r="G106" i="54" s="1"/>
  <c r="F108" i="54"/>
  <c r="F107" i="54" s="1"/>
  <c r="F106" i="54" s="1"/>
  <c r="E108" i="54"/>
  <c r="E107" i="54" s="1"/>
  <c r="E106" i="54" s="1"/>
  <c r="D107" i="54"/>
  <c r="I80" i="54"/>
  <c r="H76" i="54"/>
  <c r="G76" i="54"/>
  <c r="F76" i="54"/>
  <c r="E76" i="54"/>
  <c r="S24" i="54"/>
  <c r="P24" i="54"/>
  <c r="O24" i="54"/>
  <c r="N24" i="54"/>
  <c r="K5" i="54"/>
  <c r="L5" i="54"/>
  <c r="M5" i="54"/>
  <c r="N5" i="54"/>
  <c r="O5" i="54"/>
  <c r="P5" i="54"/>
  <c r="Q5" i="54"/>
  <c r="R5" i="54"/>
  <c r="S5" i="54"/>
  <c r="T5" i="54"/>
  <c r="U5" i="54"/>
  <c r="E247" i="54"/>
  <c r="F247" i="54"/>
  <c r="G247" i="54"/>
  <c r="H247" i="54"/>
  <c r="K246" i="54"/>
  <c r="L246" i="54"/>
  <c r="M246" i="54"/>
  <c r="N246" i="54"/>
  <c r="O246" i="54"/>
  <c r="P246" i="54"/>
  <c r="Q246" i="54"/>
  <c r="R246" i="54"/>
  <c r="S246" i="54"/>
  <c r="T246" i="54"/>
  <c r="U246" i="54"/>
  <c r="N113" i="54"/>
  <c r="M113" i="54"/>
  <c r="L113" i="54"/>
  <c r="K113" i="54"/>
  <c r="J113" i="54"/>
  <c r="E113" i="54"/>
  <c r="F113" i="54"/>
  <c r="G113" i="54"/>
  <c r="H113" i="54"/>
  <c r="I73" i="54"/>
  <c r="I63" i="54"/>
  <c r="I61" i="54"/>
  <c r="I59" i="54"/>
  <c r="I58" i="54"/>
  <c r="I51" i="54"/>
  <c r="J71" i="54"/>
  <c r="F5" i="54"/>
  <c r="D5" i="54"/>
  <c r="J5" i="54"/>
  <c r="U24" i="54"/>
  <c r="F24" i="54"/>
  <c r="K24" i="54"/>
  <c r="J24" i="54"/>
  <c r="L24" i="54"/>
  <c r="M24" i="54"/>
  <c r="Q24" i="54"/>
  <c r="R24" i="54"/>
  <c r="T24" i="54"/>
  <c r="E24" i="54"/>
  <c r="V23" i="54"/>
  <c r="I23" i="54"/>
  <c r="V246" i="54" l="1"/>
  <c r="I247" i="54"/>
  <c r="I246" i="54" s="1"/>
  <c r="D246" i="54"/>
  <c r="I38" i="54"/>
  <c r="J30" i="54"/>
  <c r="V30" i="54" s="1"/>
  <c r="I46" i="54"/>
  <c r="I54" i="54"/>
  <c r="D106" i="54"/>
  <c r="D74" i="54" s="1"/>
  <c r="I50" i="54"/>
  <c r="I31" i="54"/>
  <c r="V106" i="54"/>
  <c r="G87" i="54"/>
  <c r="G84" i="54" s="1"/>
  <c r="G81" i="54" s="1"/>
  <c r="G75" i="54" s="1"/>
  <c r="G74" i="54" s="1"/>
  <c r="H87" i="54"/>
  <c r="H84" i="54" s="1"/>
  <c r="H81" i="54" s="1"/>
  <c r="H75" i="54" s="1"/>
  <c r="H74" i="54" s="1"/>
  <c r="F87" i="54"/>
  <c r="F84" i="54" s="1"/>
  <c r="F81" i="54" s="1"/>
  <c r="F75" i="54" s="1"/>
  <c r="F74" i="54" s="1"/>
  <c r="E87" i="54"/>
  <c r="I57" i="54"/>
  <c r="V68" i="54"/>
  <c r="V67" i="54"/>
  <c r="V62" i="54"/>
  <c r="V41" i="54"/>
  <c r="V84" i="54"/>
  <c r="V90" i="54"/>
  <c r="V91" i="54"/>
  <c r="V76" i="54"/>
  <c r="V79" i="54"/>
  <c r="V81" i="54"/>
  <c r="I76" i="54"/>
  <c r="V71" i="54"/>
  <c r="I65" i="54"/>
  <c r="I113" i="54"/>
  <c r="H49" i="54"/>
  <c r="H30" i="54" s="1"/>
  <c r="V17" i="54"/>
  <c r="I71" i="54"/>
  <c r="I108" i="54"/>
  <c r="I111" i="54"/>
  <c r="I79" i="54"/>
  <c r="I5" i="54"/>
  <c r="V38" i="54"/>
  <c r="E28" i="54"/>
  <c r="I67" i="54"/>
  <c r="V21" i="54"/>
  <c r="I24" i="54"/>
  <c r="I90" i="54"/>
  <c r="V16" i="54"/>
  <c r="G49" i="54"/>
  <c r="G30" i="54" s="1"/>
  <c r="V46" i="54"/>
  <c r="F28" i="54"/>
  <c r="F49" i="54"/>
  <c r="F30" i="54" s="1"/>
  <c r="V113" i="54"/>
  <c r="V24" i="54"/>
  <c r="E49" i="54"/>
  <c r="E30" i="54" s="1"/>
  <c r="V5" i="54"/>
  <c r="V65" i="54"/>
  <c r="V66" i="54"/>
  <c r="D11" i="54"/>
  <c r="V123" i="54"/>
  <c r="W123" i="54" s="1"/>
  <c r="I91" i="54"/>
  <c r="D49" i="54"/>
  <c r="D30" i="54" s="1"/>
  <c r="D260" i="54" l="1"/>
  <c r="I106" i="54"/>
  <c r="I87" i="54"/>
  <c r="M260" i="54"/>
  <c r="E84" i="54"/>
  <c r="N260" i="54"/>
  <c r="K260" i="54"/>
  <c r="V57" i="54"/>
  <c r="L11" i="54"/>
  <c r="L10" i="54" s="1"/>
  <c r="L9" i="54" s="1"/>
  <c r="L28" i="54" s="1"/>
  <c r="V13" i="54"/>
  <c r="V14" i="54"/>
  <c r="O11" i="54"/>
  <c r="O10" i="54" s="1"/>
  <c r="O9" i="54" s="1"/>
  <c r="O28" i="54" s="1"/>
  <c r="Q11" i="54"/>
  <c r="Q10" i="54" s="1"/>
  <c r="Q9" i="54" s="1"/>
  <c r="Q28" i="54" s="1"/>
  <c r="P11" i="54"/>
  <c r="P10" i="54" s="1"/>
  <c r="P9" i="54" s="1"/>
  <c r="P28" i="54" s="1"/>
  <c r="F260" i="54"/>
  <c r="F261" i="54" s="1"/>
  <c r="G260" i="54"/>
  <c r="G261" i="54" s="1"/>
  <c r="H260" i="54"/>
  <c r="H261" i="54" s="1"/>
  <c r="I107" i="54"/>
  <c r="V54" i="54"/>
  <c r="V75" i="54"/>
  <c r="V97" i="54"/>
  <c r="I49" i="54"/>
  <c r="M11" i="54"/>
  <c r="M10" i="54" s="1"/>
  <c r="M9" i="54" s="1"/>
  <c r="M28" i="54" s="1"/>
  <c r="V49" i="54"/>
  <c r="K11" i="54"/>
  <c r="K10" i="54" s="1"/>
  <c r="K9" i="54" s="1"/>
  <c r="K28" i="54" s="1"/>
  <c r="V19" i="54"/>
  <c r="V109" i="54"/>
  <c r="N11" i="54"/>
  <c r="N10" i="54" s="1"/>
  <c r="N9" i="54" s="1"/>
  <c r="N28" i="54" s="1"/>
  <c r="I11" i="54"/>
  <c r="D10" i="54"/>
  <c r="I30" i="54"/>
  <c r="I84" i="54" l="1"/>
  <c r="E81" i="54"/>
  <c r="J260" i="54"/>
  <c r="L260" i="54"/>
  <c r="O260" i="54"/>
  <c r="U11" i="54"/>
  <c r="U10" i="54" s="1"/>
  <c r="U9" i="54" s="1"/>
  <c r="U28" i="54" s="1"/>
  <c r="R11" i="54"/>
  <c r="R10" i="54" s="1"/>
  <c r="R9" i="54" s="1"/>
  <c r="R28" i="54" s="1"/>
  <c r="Q260" i="54"/>
  <c r="S11" i="54"/>
  <c r="S10" i="54" s="1"/>
  <c r="S9" i="54" s="1"/>
  <c r="S28" i="54" s="1"/>
  <c r="S260" i="54"/>
  <c r="V18" i="54"/>
  <c r="J107" i="54"/>
  <c r="V107" i="54" s="1"/>
  <c r="V108" i="54"/>
  <c r="D9" i="54"/>
  <c r="I10" i="54"/>
  <c r="I81" i="54" l="1"/>
  <c r="E75" i="54"/>
  <c r="U260" i="54"/>
  <c r="V31" i="54"/>
  <c r="R260" i="54"/>
  <c r="J11" i="54"/>
  <c r="J10" i="54" s="1"/>
  <c r="I9" i="54"/>
  <c r="I28" i="54" s="1"/>
  <c r="D28" i="54"/>
  <c r="D261" i="54" s="1"/>
  <c r="E74" i="54" l="1"/>
  <c r="E260" i="54" s="1"/>
  <c r="I75" i="54"/>
  <c r="V22" i="54"/>
  <c r="J9" i="54"/>
  <c r="J28" i="54" s="1"/>
  <c r="I74" i="54" l="1"/>
  <c r="E261" i="54"/>
  <c r="I260" i="54"/>
  <c r="I261" i="54" s="1"/>
  <c r="T11" i="54"/>
  <c r="T260" i="54"/>
  <c r="V260" i="54" s="1"/>
  <c r="V74" i="54"/>
  <c r="T10" i="54" l="1"/>
  <c r="V11" i="54"/>
  <c r="T9" i="54" l="1"/>
  <c r="V10" i="54"/>
  <c r="T28" i="54" l="1"/>
  <c r="V9" i="54"/>
  <c r="V28" i="54" l="1"/>
  <c r="V261" i="54" s="1"/>
</calcChain>
</file>

<file path=xl/sharedStrings.xml><?xml version="1.0" encoding="utf-8"?>
<sst xmlns="http://schemas.openxmlformats.org/spreadsheetml/2006/main" count="2155" uniqueCount="304">
  <si>
    <t>Marzo</t>
  </si>
  <si>
    <t>Junio</t>
  </si>
  <si>
    <t>Octubre</t>
  </si>
  <si>
    <t>Mayo</t>
  </si>
  <si>
    <t>Agosto</t>
  </si>
  <si>
    <t>Saldo Inicial</t>
  </si>
  <si>
    <t xml:space="preserve"> Caja</t>
  </si>
  <si>
    <t xml:space="preserve"> Bancos</t>
  </si>
  <si>
    <t>Ingresos Corrientes</t>
  </si>
  <si>
    <t xml:space="preserve"> Tributarios</t>
  </si>
  <si>
    <t xml:space="preserve"> No Tributarios</t>
  </si>
  <si>
    <t>Ingresos Capital</t>
  </si>
  <si>
    <t xml:space="preserve"> Superavit</t>
  </si>
  <si>
    <t xml:space="preserve"> Rendimientos Fcros</t>
  </si>
  <si>
    <t xml:space="preserve"> Otros</t>
  </si>
  <si>
    <t>Funcionamiento</t>
  </si>
  <si>
    <t xml:space="preserve"> Amortizacion</t>
  </si>
  <si>
    <t xml:space="preserve"> Intereses y otros</t>
  </si>
  <si>
    <t>Inversion</t>
  </si>
  <si>
    <t xml:space="preserve"> Funcionamiento</t>
  </si>
  <si>
    <t xml:space="preserve"> Inversion</t>
  </si>
  <si>
    <t>Apro Inicial</t>
  </si>
  <si>
    <t>Adiciones</t>
  </si>
  <si>
    <t>Reduccion</t>
  </si>
  <si>
    <t>Apro Definitiva</t>
  </si>
  <si>
    <t>Enero</t>
  </si>
  <si>
    <t>Febrero</t>
  </si>
  <si>
    <t>Abril</t>
  </si>
  <si>
    <t>Julio</t>
  </si>
  <si>
    <t>Septiembre</t>
  </si>
  <si>
    <t>Noviembre</t>
  </si>
  <si>
    <t>Diciembre</t>
  </si>
  <si>
    <t>Total</t>
  </si>
  <si>
    <t>Total Ingresos (1+2+3)</t>
  </si>
  <si>
    <t>A</t>
  </si>
  <si>
    <t>B</t>
  </si>
  <si>
    <t>Saldo Disponible (A - B)</t>
  </si>
  <si>
    <t>INGRESOS</t>
  </si>
  <si>
    <t>GASTOS</t>
  </si>
  <si>
    <t>Total Gastos (1 + 2 + 3 + 4 +5)</t>
  </si>
  <si>
    <t>Creditos</t>
  </si>
  <si>
    <t>Contracred</t>
  </si>
  <si>
    <t>Otros</t>
  </si>
  <si>
    <r>
      <t xml:space="preserve">NOMBRE ENTIDAD: </t>
    </r>
    <r>
      <rPr>
        <b/>
        <sz val="14"/>
        <rFont val="Arial Black"/>
        <family val="2"/>
      </rPr>
      <t>AGENCIA PARA LA INFRAESTUCTURA DEL META</t>
    </r>
  </si>
  <si>
    <t>Bonificación por servicios prestados</t>
  </si>
  <si>
    <t>RESERVAS PRESUPUESTALES</t>
  </si>
  <si>
    <t>CUENTAS POR PAGAR</t>
  </si>
  <si>
    <t>1003 - 0101</t>
  </si>
  <si>
    <t>Entidades Departamentales</t>
  </si>
  <si>
    <t>1003 - 01010101</t>
  </si>
  <si>
    <t>Departamento del Meta</t>
  </si>
  <si>
    <t>SECTOR: MINAS Y ENERGÍA</t>
  </si>
  <si>
    <t>1003 - 2.3</t>
  </si>
  <si>
    <t xml:space="preserve">Servicios prestados a las empresas y servicios de producción </t>
  </si>
  <si>
    <t>SECTOR: TRANSPORTE</t>
  </si>
  <si>
    <t>SECTOR: INCLUSIÓN SOCIAL Y RECONCILIACIÓN</t>
  </si>
  <si>
    <t>SECTOR: GOBIERNO TERRITORIAL</t>
  </si>
  <si>
    <t>Servicios para la comunidad, sociales y personales</t>
  </si>
  <si>
    <t>Sueldo básico</t>
  </si>
  <si>
    <t>1003 - 2.1</t>
  </si>
  <si>
    <t>1003 - 2.1.1.01.01.001.06 - 20</t>
  </si>
  <si>
    <t>Prima de servicio</t>
  </si>
  <si>
    <t>1003 - 2.1.1.01.01.001.07 - 20</t>
  </si>
  <si>
    <t>Prima de navidad</t>
  </si>
  <si>
    <t>1003 - 2.1.1.01.01.001.08.02 - 20</t>
  </si>
  <si>
    <t>Prima de vacaciones</t>
  </si>
  <si>
    <t>1003 - 2.1.1.01.01.001.09 - 20</t>
  </si>
  <si>
    <t>Prima técnica salarial</t>
  </si>
  <si>
    <t>1003 - 2.1.1.01.01</t>
  </si>
  <si>
    <t>FACTORES CONSTITUTIVOS DE SALARIO</t>
  </si>
  <si>
    <t>1003 - 2.1.1.01.01.001.01 - 20</t>
  </si>
  <si>
    <t>1003 - 2.1.1.01.02</t>
  </si>
  <si>
    <t>CONTRIBUCIONES INHERENTES A LA NOMINA</t>
  </si>
  <si>
    <t>1003 - 2.1.1.01.02.001 - 20</t>
  </si>
  <si>
    <t>Aportes a la Seguridad Social en Pensiones</t>
  </si>
  <si>
    <t>1003 - 2.1.1.01.02.002 - 20</t>
  </si>
  <si>
    <t>Aportes a la seguridad social en salud</t>
  </si>
  <si>
    <t>1003 - 2.1.1.01.02.003 - 20</t>
  </si>
  <si>
    <t>Aportes de cesantías</t>
  </si>
  <si>
    <t>1003 - 2.1.1.01.02.004 - 20</t>
  </si>
  <si>
    <t>Aportes a cajas de compensación familiar</t>
  </si>
  <si>
    <t>1003 - 2.1.1.01.02.005 - 20</t>
  </si>
  <si>
    <t>Aportes generales al sistema de riesgos laborales</t>
  </si>
  <si>
    <t>1003 - 2.1.1.01.02.006 - 20</t>
  </si>
  <si>
    <t>Aportes al ICBF</t>
  </si>
  <si>
    <t>1003 - 2.1.1.01.02.007 - 20</t>
  </si>
  <si>
    <t>Aportes al SENA</t>
  </si>
  <si>
    <t>1003 - 2.1.1.01.03</t>
  </si>
  <si>
    <t>REMUNERACIONES NO CONSTITUTIVAS DE FACTOR SALARIAL</t>
  </si>
  <si>
    <t>1003 - 2.1.1.01.03.001.01 - 20</t>
  </si>
  <si>
    <t>Vacaciones</t>
  </si>
  <si>
    <t>1003 - 2.1.1.01.03.001.03 - 20</t>
  </si>
  <si>
    <t>Bonificación especial de recreación</t>
  </si>
  <si>
    <t>1003 - 2.1.2</t>
  </si>
  <si>
    <t>1003 - 2.1.2.01</t>
  </si>
  <si>
    <t>Adquisición de activos no financieros</t>
  </si>
  <si>
    <t>Otros bienes transportables (excepto productos metálicos, maquinaria y equipo)</t>
  </si>
  <si>
    <t>1003 - 2.1.2.02</t>
  </si>
  <si>
    <t>Adquisiciones diferentes de activos</t>
  </si>
  <si>
    <t>1003 - 2.1.2.02.02</t>
  </si>
  <si>
    <t>Adquisición de servicios</t>
  </si>
  <si>
    <t>Servicios financieros y servicios conexos, servicios inmobiliarios y servicios de leasing</t>
  </si>
  <si>
    <t>Servicios prestados a las empresas y servicios de producción</t>
  </si>
  <si>
    <t>1003 - 2.1.8</t>
  </si>
  <si>
    <t>Gastos por tributos, multas, sanciones e intereses de mora</t>
  </si>
  <si>
    <t>ADQUISICION DE BIENES Y SERVICIOS</t>
  </si>
  <si>
    <t>Transferencias para Inversión</t>
  </si>
  <si>
    <t>Construcción y Servicios de la construcción</t>
  </si>
  <si>
    <t>1003 - 2.3.24</t>
  </si>
  <si>
    <t>1003 - 2.3.41</t>
  </si>
  <si>
    <t>1003 - 2.3.45</t>
  </si>
  <si>
    <t>1003 - 2.1.2.02.01.003 - 20</t>
  </si>
  <si>
    <t>Comercio y distribución; alojamiento; servicios de suministro de comidas y bebidas; servicios de transporte; y servicios de distribución de electricidad, gas y agua</t>
  </si>
  <si>
    <t>1003 - 2.1.2.02.02.007 - 20</t>
  </si>
  <si>
    <t>1003 - 2.1.2.02.02.008 - 20</t>
  </si>
  <si>
    <t>Tasas y derechos administrativos</t>
  </si>
  <si>
    <t>1003 - 2.1.8.03 - 20</t>
  </si>
  <si>
    <t>1003 - 2.1.2.01.01.003.03.02 - 20</t>
  </si>
  <si>
    <t>Maquinaria de informática y sus partes, piezas y accesorios</t>
  </si>
  <si>
    <t>1003 - 2.1.2.02.02.006 - 20</t>
  </si>
  <si>
    <t>1003 - 2.1.2.02.02.009 - 20</t>
  </si>
  <si>
    <t>Servicio a la deuda</t>
  </si>
  <si>
    <t>1003 - 2.1.8.04.01 - 20</t>
  </si>
  <si>
    <t>Cuota de fiscalización y auditaje</t>
  </si>
  <si>
    <t>1003 - 2.1.3</t>
  </si>
  <si>
    <t>TRANSFERENCIAS CORRIENTES</t>
  </si>
  <si>
    <t>1003  - 2.1.3.13.01.001 - 03</t>
  </si>
  <si>
    <t>Sentencias</t>
  </si>
  <si>
    <t>1003 - 1.1.02.06.006.06 01 - 03</t>
  </si>
  <si>
    <t>1003 - 1.1.02.06.006.06 01 - 20</t>
  </si>
  <si>
    <t>1003 - 1.2.08.06.002.01 - 05</t>
  </si>
  <si>
    <t>1003 - 1.2.08.06.002.01 - 08</t>
  </si>
  <si>
    <t>1003 - 1.2.08.06.002.01 - 20</t>
  </si>
  <si>
    <t>1003 - 1.2.08.06.002.01 - 23</t>
  </si>
  <si>
    <t>1003 - 1.2.08.06.002.01 - 312</t>
  </si>
  <si>
    <t>1003 - 2.1.1.01.01.001.08.01 - 20</t>
  </si>
  <si>
    <t>SUBGERENTE GENERAL DE GESTION CORPORATIVA</t>
  </si>
  <si>
    <t>1003 - 2.3.21.2102.1900.001</t>
  </si>
  <si>
    <t>1003 - 2.3.21.2102.1900.001.2.3.2.02.02.005 - 05</t>
  </si>
  <si>
    <t>1003 - 2.3.21.2102.1900.002</t>
  </si>
  <si>
    <t>1003 - 2.3.21.2102.1900.002.2.3.2.02.02.008 - 05</t>
  </si>
  <si>
    <t>SECTOR: EDUCACIÓN</t>
  </si>
  <si>
    <t xml:space="preserve">1003 - 2.3.22 </t>
  </si>
  <si>
    <t>1003 - 2.3.21</t>
  </si>
  <si>
    <t>1003 - 2.3.22.2201.0700.001.2.3.2.02.02 -005 - 04</t>
  </si>
  <si>
    <t>1003 - 2.3.22.2201.0700.001.2.3.2.02.02.008 - 04</t>
  </si>
  <si>
    <t>1003 - 2.3.24.2402.0600.001</t>
  </si>
  <si>
    <t>1003 - 2.3.24.2402.0600.001.2.3.2.02.02.005 - 23</t>
  </si>
  <si>
    <t>1003 - 2.3.24.2402.0600.001.2.3.2.02.02.008 - 23</t>
  </si>
  <si>
    <t>1003 - 2.3.24.2402.0600.132</t>
  </si>
  <si>
    <t>BPIN 2022005500031. MEJORAMIENTO, MANTENIMIENTO, REHABILITACIÓN DE LOS CORREDORES VIALES PARA LA CONEXIÓN PACÍFICO - ORINOQUÍA EN EL DEPARTAMENTO DEL META</t>
  </si>
  <si>
    <t>1003 - 2.3.24.2402.0600.132.2.3.2.02.02.005 - 312</t>
  </si>
  <si>
    <t>1003 - 2.3.41.4104.1500.001</t>
  </si>
  <si>
    <t>1003 - 2.3.41.4104.1500.001.2.3.2.02.02.005 - 08</t>
  </si>
  <si>
    <t>'1003 - 2.3.41.4104.1500.001.2.3.2.02.02.008 - 08</t>
  </si>
  <si>
    <t>1003 - 2.3.45.4599.1000.001</t>
  </si>
  <si>
    <t>1003 - 2.3.45.4599.1000.001.2.3.2.02.02.008 - 20</t>
  </si>
  <si>
    <t>1003 - 1.2.08.06.002.01 - 04</t>
  </si>
  <si>
    <t>WILSON ENRIQUE CASTRILLON DUQUE</t>
  </si>
  <si>
    <t>p</t>
  </si>
  <si>
    <t>Sector</t>
  </si>
  <si>
    <t>MINAS Y ENERGÍA</t>
  </si>
  <si>
    <t>BPIN</t>
  </si>
  <si>
    <t>Programa/Proyecto</t>
  </si>
  <si>
    <t>Energias Alternativas</t>
  </si>
  <si>
    <t>Valor</t>
  </si>
  <si>
    <t>Redes Eléctricas</t>
  </si>
  <si>
    <t>EDUCACIÓN</t>
  </si>
  <si>
    <t>Construcción Infraestructura Educativa</t>
  </si>
  <si>
    <t>TRANSPORTE</t>
  </si>
  <si>
    <t>Mejoramiento Vial</t>
  </si>
  <si>
    <t>Mantenimiento Vial</t>
  </si>
  <si>
    <t>Pacífico - Orinoquía</t>
  </si>
  <si>
    <t>INCLUSIÓN SOCIAL Y RECONCILIACIÓN</t>
  </si>
  <si>
    <t>Centros Vida</t>
  </si>
  <si>
    <t>GOBIERNO TERRITORIAL</t>
  </si>
  <si>
    <t>Fortalecimiento</t>
  </si>
  <si>
    <t>Fonset</t>
  </si>
  <si>
    <t>Ene</t>
  </si>
  <si>
    <t>Feb</t>
  </si>
  <si>
    <t>Mar</t>
  </si>
  <si>
    <t>Abr</t>
  </si>
  <si>
    <t>May</t>
  </si>
  <si>
    <t>Jun</t>
  </si>
  <si>
    <t>Jul</t>
  </si>
  <si>
    <t>Ago</t>
  </si>
  <si>
    <t>Sep</t>
  </si>
  <si>
    <t>Oct</t>
  </si>
  <si>
    <t>Nov</t>
  </si>
  <si>
    <t>Dic</t>
  </si>
  <si>
    <t>1003 - 2.1.2.02.02.008 - 03</t>
  </si>
  <si>
    <t>1003 - 2.1.8.03 - 03</t>
  </si>
  <si>
    <t>1003 - 2.3.21.2102.1900.003</t>
  </si>
  <si>
    <t>1003 - 2.3.22.2201.700.001</t>
  </si>
  <si>
    <t>BPIN 2024005500124 PROGRAMA: MEJORAMIENTO Y REHABILITACION DE LA RED VIAL REGIONAL SECUNDARIA Y TERCIARIA PARA EL DESARROLLO TERRITORIAL DEL DEPARTAMENTO DEL META</t>
  </si>
  <si>
    <t>1003 - 2.3.24.2402.0600.158</t>
  </si>
  <si>
    <t>BPIN 2024005500008 MEJORAMIENTO DE LA VIA QUE CONDUCE A LA VEREDA RUBIALES DESDE EL PUNTO ALTO NEBLINAS EN EL KM 16+000 EN EL MUNICIPIO DE PUERTO GAITÁN META</t>
  </si>
  <si>
    <t>1003 - 2.3.24.2402.0600.158.2.3.2.02.02.005 - 316</t>
  </si>
  <si>
    <t>BPIN 2024005500115. PROGRAMA: CONSTRUCCIÓN DE CENTROS VIDA Y/O CENTROS DE BIENESTAR EN EL DEPARTAMENTO DEL META</t>
  </si>
  <si>
    <t>BPIN 2024005500107  FORTALECIMIENTO A LA ADMINISTRACIÓN Y SUPERVISIÓN DE LA GESTIÓN PÚBLICA TERRITORIAL DE LA AGENCIA PARA LA INFRAESTRUCTURA DEL META</t>
  </si>
  <si>
    <t>1003 - 1.2.08.06.002.01 - 316</t>
  </si>
  <si>
    <t xml:space="preserve">SUBGERENTE DE GESTIÓN DE PROYECTOS DE INFRAESTRUCTURA </t>
  </si>
  <si>
    <t>PROGRAMACION PLAN ANUAL DE CAJA 2026</t>
  </si>
  <si>
    <t>1003 - 1.2.08.06.002.01 - 23F</t>
  </si>
  <si>
    <t>1003 - 2.1.2.01.01.003.03.02 - 03</t>
  </si>
  <si>
    <t>1003 - 2.1.2.01.01.003.07.01 - 03</t>
  </si>
  <si>
    <t>Vehículos automotores, remolques y semirremolques; y sus partes, piezas y accesorios</t>
  </si>
  <si>
    <t>1003 - 2.1.2.02.01.003 - 03</t>
  </si>
  <si>
    <t>1003 - 2.1.2.02.02.007 - 03</t>
  </si>
  <si>
    <t>1003 - 2.1.2.02.02.010 - 20</t>
  </si>
  <si>
    <t>Viáticos de los funcionarios en comisión</t>
  </si>
  <si>
    <t>BPIN 202500000028957 IMPLEMENTACION DE SOLUCIONES DE GENERACION DE ENERGIA CON FUENTES NO CONVENCIONALES DE ENERGIA RENOVABLE EN VIVIENDAS RURALES DE LOS MUNICIPIOS DE LA MACARENA, MESETAS, PUERTO LLERAS, PUERTO RICO, VISTAHERMOSA, META</t>
  </si>
  <si>
    <t>BPIN 202500000027010 AMPLIACION DE COBERTURA DEL SISTEMA DE INTERCONEXION ELECTRICA DE LAS VEREDAS MANCITAS Y PRIMAVERA SECTOR II AREA RURAL DEL MUNICIPIO DE URIBE EN EL DEPARTAMENTO DEL META</t>
  </si>
  <si>
    <t>1003 - 2.3.21.2102.1900.029</t>
  </si>
  <si>
    <t>1003 - 2.3.21.2102.1900.030</t>
  </si>
  <si>
    <t>BPIN 202500000028877 CONSTRUCCION REDES ELECTRICAS PARCELACION MI VIEJO SAN JUAN EN EL MUNICIPIO DE SAN CARLOS DE GUAROA, META</t>
  </si>
  <si>
    <t>BPIN 202500000027854 CONSTRUCCION DE AULAS EN LA INSTITUCIÓN EDUCATIVA JOHN F. KENNEDY, EN EL MUNICIPIO DE SAN JUANITO META</t>
  </si>
  <si>
    <t>1003 - 2.3.22.2201.700.002</t>
  </si>
  <si>
    <t>BPIN 202500000028961 CONSTRUCCION DE UNIDADES DE INFRAESTRUCTURA EDUCATIVA, EN LA INSTITUCION EDUCATIVA GABRIELA MISTRAL SEDE PRINCIPAL DEL MUNICIPIO DE LEJANIAS, META</t>
  </si>
  <si>
    <t>1003 - 2.3.22.2201.0700.002.2.3.2.02.02 -005 - 04</t>
  </si>
  <si>
    <t>1003 - 2.3.22.2201.0700.002.2.3.2.02.02.008 - 04</t>
  </si>
  <si>
    <t>1003 - 2.3.24.2402.0600.001.2.3.2.02.02.008 - 23F</t>
  </si>
  <si>
    <t>1003 - 2.3.21.2102.1900.030.2.3.2.02.02.008 - 05</t>
  </si>
  <si>
    <t>1003 - 2.3.21.2102.1900.029.2.3.2.02.02.008 - 05</t>
  </si>
  <si>
    <t>JHON ERIK JIMENEZ ORTIZ</t>
  </si>
  <si>
    <t>1003 - 2.3.21.2102.1900.003.2.3.2.02.02.005 - 05</t>
  </si>
  <si>
    <t>1003 - 2.3.21.2102.1900.029.2.3.2.02.02.005 - 05</t>
  </si>
  <si>
    <t>1003 - 2.3.21.2102.1900.030.2.3.2.02.02.005 - 05</t>
  </si>
  <si>
    <t>1003 - 2.3.21.2102.1900.003.2.3.2.02.02.008 - 05</t>
  </si>
  <si>
    <t>BPIN 2024005500143.  CONSTRUCCIÓN E IMPLEMENTACIÓN DE GENERACIÓN FOTOVOLTAICA PARA LA TRANSICIÓN ENERGÉTICA EN EL DEPARTAMENTO DEL META</t>
  </si>
  <si>
    <t>BPIN 2024005500145. CONSTRUCCIÓN DEL SISTEMA DE TRANSMINISION DE ENERGIA ELECTRICA MEDIANTE REDES DE DISTRIBUCION EN EL DEPARTAMENTO DEL META</t>
  </si>
  <si>
    <t>1003 - 2.3.21.2102.1900.023.2.3.2.02.02.005 - 05</t>
  </si>
  <si>
    <t>1003 - 2.3.21.2102.1900.023.2.3.2.02.02.008 - 05</t>
  </si>
  <si>
    <t>Servicios prestados a las empresas y servicios de produccion</t>
  </si>
  <si>
    <t>1003 - 2.3.22.2201.0700.015.2.3.2.02.02.008 - 04D</t>
  </si>
  <si>
    <t>1003 - 2.3.22.2201.0700.015.2.3.2.02.02.008 - 04</t>
  </si>
  <si>
    <t>1003 - 2.3.45.4501.1000.3.232.2.2.8 - 42</t>
  </si>
  <si>
    <t>1003 - 2.3.32.3205.0900.002.2.3.2.02.02.005 - 315</t>
  </si>
  <si>
    <t>3072- 2025 RP 961/2024</t>
  </si>
  <si>
    <t>3119 - 2025 RP 729/2025</t>
  </si>
  <si>
    <t>3120 -2025 RP 730/2025</t>
  </si>
  <si>
    <t>3125 - 2025 RP 761/2025</t>
  </si>
  <si>
    <t>3126 - 2025 RP 759/2025</t>
  </si>
  <si>
    <t>3127 2025 RP 760/2025</t>
  </si>
  <si>
    <t>3128 - 2025 RP 809/2025</t>
  </si>
  <si>
    <t>3132 - 2025 RP 763/2025</t>
  </si>
  <si>
    <t>3133 - 2025 RP 763/2025</t>
  </si>
  <si>
    <t>3134 -2025 RP 762/2025</t>
  </si>
  <si>
    <t>Maquinaria de informatica y sus partes, piezas y accesorios</t>
  </si>
  <si>
    <t>Construccion y Servicios de la construccion</t>
  </si>
  <si>
    <t>1003 - 2.3.24.2402.0600.002.2.3.2.02.02.005 - 23</t>
  </si>
  <si>
    <t>1003 - 2.3.24.2402.0600.003.2.3.2.02.02.005 - 23</t>
  </si>
  <si>
    <t>1003 - 2.3.24.2402.0600.002.2.3.2.02.02.008 - 23</t>
  </si>
  <si>
    <t>Servicios prestados a la empresas y servicios de produccion</t>
  </si>
  <si>
    <t>1003 - 2.3.24.2402.0600.003.2.3.2.02.02.008 - 23</t>
  </si>
  <si>
    <t>1003 - 2.3.21.2102.1900.024.2.3.2.02.02.008 - 05</t>
  </si>
  <si>
    <t>1003 - 2.3.21.2102.1900.025.2.3.2.02.02.005 - 05RB</t>
  </si>
  <si>
    <t>1003 - 2.3.21.2102.1900.025.2.3.2.02.02.005 - 05</t>
  </si>
  <si>
    <t>1003 - 2.3.21.2102.1900.025.2.3.2.02.02.008 - 05RB</t>
  </si>
  <si>
    <t>1003 - 2.3.21.2102.1900.025.2.3.2.02.02.008 - 05</t>
  </si>
  <si>
    <t>1003 - 2.3.21.2102.1900.026.2.3.2.02.02.005 - 05F</t>
  </si>
  <si>
    <t>1003 - 2.3.21.2102.1900.026.2.3.2.02.02.005 - 05RB</t>
  </si>
  <si>
    <t>1003 - 2.3.21.2102.1900.026.2.3.2.02.02.005 - 05</t>
  </si>
  <si>
    <t>1003 - 2.3.21.2102.1900.026.2.3.2.02.02.008 - 05</t>
  </si>
  <si>
    <t>1003 - 2.3.21.2102.1900.026.2.3.2.02.02.008 - 05RB</t>
  </si>
  <si>
    <t>1003 - 2.3.24.2402.0600.161.2.3.2.02.02.008 - 23</t>
  </si>
  <si>
    <t>1003 - 2.3.24.2402.0600.165.2.3.2.02.02.005 - 23RB</t>
  </si>
  <si>
    <t>1003 - 2.3.24.2402.0600.165.2.3.2.02.02.005 - 23</t>
  </si>
  <si>
    <t>1003 - 2.3.41.4104.1500.002.2.3.2.02.02.005 - 20RB</t>
  </si>
  <si>
    <t>1003 - 2.3.41.4104.1500.002.2.3.2.02.02.008 - 08RB</t>
  </si>
  <si>
    <t>1003 - 2.3.41.4104.1500.003.2.3.2.02.02.005 - 08</t>
  </si>
  <si>
    <t>1003 - 2.3.41.4104.1500.003.2.3.2.02.02.008 - 08</t>
  </si>
  <si>
    <t>1003 - 2.3.41.4104.1500.004.2.3.2.02.02.008 - 08RB</t>
  </si>
  <si>
    <t>1003 - 2.3.43.4301.1604.021.2.3.2.02.02.005 - 04</t>
  </si>
  <si>
    <t>1003 - 2.3.43.4301.1604.030.2.3.2.02.02.005 - 191</t>
  </si>
  <si>
    <t>1003 - 2.3.43.4301.1604.031.2.3.2.02.02.005 - 191</t>
  </si>
  <si>
    <t>1003 - 2.3.43.4301.1604.039.2.3.2.02.02.005 - 191</t>
  </si>
  <si>
    <t>1003 - 2.3.24.2402.0600.001.2.3.2.02.02.005 - 23RB</t>
  </si>
  <si>
    <t>1003 - 2.3.21.2102.1900.001.2.3.2.02.02.008 - 05</t>
  </si>
  <si>
    <t>1003 - 2.3.22.2201.0700.003.2.3.2.02.02.005 - 04</t>
  </si>
  <si>
    <t>1003 - 2.3.22.2201.0700.003.2.3.2.02.02.008 - 04RB</t>
  </si>
  <si>
    <t>1003 - 2.3.22.2201.0700.002.2.3.2.02.02.005 - 04RB</t>
  </si>
  <si>
    <t>1003 - 2.3.22.2201.0700.002.2.3.2.02.02.008 - 04RB</t>
  </si>
  <si>
    <t>1003 - 2.3.21.2102.1900.030.2.3.2.02.02.005 - 05RB</t>
  </si>
  <si>
    <t>1003 - 2.3.21.2102.1900.027.2.3.2.02.02.005 - 05</t>
  </si>
  <si>
    <t>1003 - 2.3.21.2102.1900.028.2.3.2.02.02.005 - 05</t>
  </si>
  <si>
    <t>1003 - 2.3.21.2102.1900.028.2.3.2.02.02.008 - 05</t>
  </si>
  <si>
    <t>1003 - 2.3.45.4501.1000.002.2.3.2.02.02.005 - 20RB</t>
  </si>
  <si>
    <t>1003 - 2.3.24.2402.0600.001.2.3.2.02.02.005 - 20</t>
  </si>
  <si>
    <t>1003 - 2.3.24.2402.0600.001.2.3.2.02.02.005 - 191F</t>
  </si>
  <si>
    <t>1003 - 2.3.24.2402.0600.001.2.3.2.02.02.005 - 23F</t>
  </si>
  <si>
    <t>1003 - 2.3.24.2402.0600.001.2.3.2.02.02.005 - 193F</t>
  </si>
  <si>
    <t>1003 - 2.3.24.2402.0600.002.2.3.2.02.02.008 - 191F</t>
  </si>
  <si>
    <t>1003 - 2.3.24.2402.0600.002.2.3.2.02.02.005 - 191F</t>
  </si>
  <si>
    <t>1003 - 2.3.24.2402.0600.002.2.3.2.02.02.005 - 191</t>
  </si>
  <si>
    <t>1003 - 2.3.45.4501.1000.002.2.3.2.02.02.005 - 191</t>
  </si>
  <si>
    <t>1003 - 2.3.21.2102.1900.002.2.3.2.02.02.005 - 05</t>
  </si>
  <si>
    <t>RP</t>
  </si>
  <si>
    <t>PAC PROGRAMADO ENERO</t>
  </si>
  <si>
    <t>PAC EJECUTADO ENERO</t>
  </si>
  <si>
    <t>% cumplim</t>
  </si>
  <si>
    <t>EJECUCION (COMPROMISOS ) PLAN ANUAL DE CAJA 2026</t>
  </si>
  <si>
    <t>EJECUCION (PAGOS) PLAN ANUAL DE CAJA 2026</t>
  </si>
  <si>
    <t>SEGUIMIENTO PLAN ANUAL DE CAJA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</si>
</sst>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43" formatCode="_-* #,##0.00_-;\-* #,##0.00_-;_-* &quot;-&quot;??_-;_-@_-"/>
    <numFmt numFmtId="164" formatCode="_(* #,##0_);_(* \(#,##0\);_(* &quot;-&quot;_);_(@_)"/>
    <numFmt numFmtId="165" formatCode="_(&quot;C$&quot;* #,##0.00_);_(&quot;C$&quot;* \(#,##0.00\);_(&quot;C$&quot;* &quot;-&quot;??_);_(@_)"/>
    <numFmt numFmtId="166" formatCode="_-[$$-240A]\ * #,##0.00_-;\-[$$-240A]\ * #,##0.00_-;_-[$$-240A]\ * &quot;-&quot;??_-;_-@_-"/>
    <numFmt numFmtId="167" formatCode="_(* #,##0.00_);_(* \(#,##0.00\);_(* &quot;-&quot;_);_(@_)"/>
    <numFmt numFmtId="168" formatCode="&quot;$&quot;\ #,##0.00"/>
    <numFmt numFmtId="169" formatCode="#,##0.00_);\-#,##0.00"/>
  </numFmts>
  <fonts count="22" x14ac:knownFonts="1">
    <font>
      <sz val="10"/>
      <name val="Arial"/>
    </font>
    <font>
      <sz val="10"/>
      <name val="Arial"/>
      <family val="2"/>
    </font>
    <font>
      <b/>
      <sz val="10"/>
      <name val="Arial"/>
      <family val="2"/>
    </font>
    <font>
      <sz val="10"/>
      <name val="Arial"/>
      <family val="2"/>
    </font>
    <font>
      <sz val="10"/>
      <name val="Arial"/>
      <family val="2"/>
    </font>
    <font>
      <sz val="11"/>
      <name val="Arial"/>
      <family val="2"/>
    </font>
    <font>
      <b/>
      <sz val="12"/>
      <name val="Arial"/>
      <family val="2"/>
    </font>
    <font>
      <sz val="14"/>
      <name val="Arial Black"/>
      <family val="2"/>
    </font>
    <font>
      <b/>
      <sz val="14"/>
      <name val="Arial Black"/>
      <family val="2"/>
    </font>
    <font>
      <b/>
      <sz val="9"/>
      <name val="Arial"/>
      <family val="2"/>
    </font>
    <font>
      <sz val="10"/>
      <color indexed="8"/>
      <name val="MS Sans Serif"/>
      <family val="2"/>
    </font>
    <font>
      <sz val="10"/>
      <name val="Arial"/>
      <family val="2"/>
    </font>
    <font>
      <sz val="9"/>
      <name val="Arial"/>
      <family val="2"/>
    </font>
    <font>
      <b/>
      <sz val="11"/>
      <name val="Arial"/>
      <family val="2"/>
    </font>
    <font>
      <sz val="9"/>
      <color indexed="8"/>
      <name val="Arial Narrow"/>
      <family val="2"/>
    </font>
    <font>
      <sz val="11"/>
      <color theme="1"/>
      <name val="Calibri"/>
      <family val="2"/>
      <scheme val="minor"/>
    </font>
    <font>
      <sz val="10"/>
      <color theme="1"/>
      <name val="Arial Narrow"/>
      <family val="2"/>
    </font>
    <font>
      <sz val="10"/>
      <name val="Arial"/>
      <family val="2"/>
    </font>
    <font>
      <sz val="10"/>
      <color indexed="8"/>
      <name val="Arial Narrow"/>
      <family val="2"/>
    </font>
    <font>
      <sz val="6"/>
      <color indexed="8"/>
      <name val="Times New Roman"/>
      <family val="1"/>
    </font>
    <font>
      <sz val="10"/>
      <color indexed="8"/>
      <name val="Times New Roman"/>
      <family val="1"/>
    </font>
    <font>
      <sz val="10"/>
      <name val="Arial"/>
    </font>
  </fonts>
  <fills count="11">
    <fill>
      <patternFill patternType="none"/>
    </fill>
    <fill>
      <patternFill patternType="gray125"/>
    </fill>
    <fill>
      <patternFill patternType="solid">
        <fgColor theme="4" tint="0.79998168889431442"/>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theme="8" tint="0.79998168889431442"/>
        <bgColor indexed="64"/>
      </patternFill>
    </fill>
    <fill>
      <patternFill patternType="solid">
        <fgColor rgb="FF92D050"/>
        <bgColor indexed="64"/>
      </patternFill>
    </fill>
    <fill>
      <patternFill patternType="solid">
        <fgColor theme="7" tint="0.59999389629810485"/>
        <bgColor indexed="64"/>
      </patternFill>
    </fill>
    <fill>
      <patternFill patternType="solid">
        <fgColor rgb="FF909EE6"/>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165" fontId="1" fillId="0" borderId="0" applyFont="0" applyFill="0" applyBorder="0" applyAlignment="0" applyProtection="0"/>
    <xf numFmtId="0" fontId="15" fillId="0" borderId="0"/>
    <xf numFmtId="0" fontId="10" fillId="0" borderId="0"/>
    <xf numFmtId="9" fontId="11" fillId="0" borderId="0" applyFont="0" applyFill="0" applyBorder="0" applyAlignment="0" applyProtection="0"/>
    <xf numFmtId="9" fontId="21" fillId="0" borderId="0" applyFont="0" applyFill="0" applyBorder="0" applyAlignment="0" applyProtection="0"/>
  </cellStyleXfs>
  <cellXfs count="189">
    <xf numFmtId="0" fontId="0" fillId="0" borderId="0" xfId="0"/>
    <xf numFmtId="164" fontId="0" fillId="0" borderId="0" xfId="1" applyFont="1" applyFill="1" applyAlignment="1" applyProtection="1">
      <alignment horizontal="center" vertical="center" wrapText="1"/>
    </xf>
    <xf numFmtId="164" fontId="2" fillId="0" borderId="0" xfId="1" applyFont="1" applyFill="1" applyAlignment="1" applyProtection="1">
      <alignment horizontal="center" vertical="center" wrapText="1"/>
    </xf>
    <xf numFmtId="164" fontId="0" fillId="0" borderId="1" xfId="1" applyFont="1" applyFill="1" applyBorder="1" applyAlignment="1" applyProtection="1">
      <alignment vertical="center" textRotation="90" wrapText="1"/>
    </xf>
    <xf numFmtId="164" fontId="2" fillId="0" borderId="1" xfId="1" applyFont="1" applyFill="1" applyBorder="1" applyAlignment="1" applyProtection="1">
      <alignment vertical="center" wrapText="1"/>
    </xf>
    <xf numFmtId="164" fontId="2" fillId="2" borderId="1" xfId="1" applyFont="1" applyFill="1" applyBorder="1" applyAlignment="1" applyProtection="1">
      <alignment horizontal="left" vertical="center" wrapText="1"/>
    </xf>
    <xf numFmtId="164" fontId="3" fillId="0" borderId="1" xfId="1" applyFont="1" applyFill="1" applyBorder="1" applyAlignment="1" applyProtection="1">
      <alignment horizontal="left" vertical="center" wrapText="1"/>
    </xf>
    <xf numFmtId="164" fontId="3" fillId="0" borderId="1" xfId="1" applyFont="1" applyFill="1" applyBorder="1" applyAlignment="1" applyProtection="1">
      <alignment vertical="center" wrapText="1"/>
    </xf>
    <xf numFmtId="164" fontId="3" fillId="0" borderId="1" xfId="1" applyFont="1" applyBorder="1" applyAlignment="1" applyProtection="1">
      <alignment horizontal="left" vertical="center" wrapText="1"/>
      <protection locked="0"/>
    </xf>
    <xf numFmtId="164" fontId="3" fillId="0" borderId="1" xfId="1" applyFont="1" applyBorder="1" applyAlignment="1" applyProtection="1">
      <alignment vertical="center" wrapText="1"/>
      <protection locked="0"/>
    </xf>
    <xf numFmtId="164" fontId="0" fillId="0" borderId="0" xfId="1" applyFont="1" applyAlignment="1" applyProtection="1">
      <alignment vertical="center" wrapText="1"/>
    </xf>
    <xf numFmtId="164" fontId="2" fillId="0" borderId="0" xfId="1" applyFont="1" applyAlignment="1" applyProtection="1">
      <alignment vertical="center" wrapText="1"/>
    </xf>
    <xf numFmtId="164" fontId="0" fillId="0" borderId="0" xfId="1" applyFont="1" applyFill="1" applyAlignment="1" applyProtection="1">
      <alignment vertical="center" wrapText="1"/>
    </xf>
    <xf numFmtId="164" fontId="2" fillId="0" borderId="1" xfId="1" applyFont="1" applyBorder="1" applyAlignment="1" applyProtection="1">
      <alignment vertical="center" wrapText="1"/>
    </xf>
    <xf numFmtId="164" fontId="2" fillId="0" borderId="1" xfId="1" applyFont="1" applyBorder="1" applyAlignment="1" applyProtection="1">
      <alignment horizontal="center" vertical="center" wrapText="1"/>
    </xf>
    <xf numFmtId="164" fontId="2" fillId="0" borderId="0" xfId="1" applyFont="1" applyFill="1" applyAlignment="1" applyProtection="1">
      <alignment vertical="center" wrapText="1"/>
    </xf>
    <xf numFmtId="164" fontId="3" fillId="0" borderId="1" xfId="1" applyFont="1" applyBorder="1" applyAlignment="1" applyProtection="1">
      <alignment vertical="center" wrapText="1"/>
    </xf>
    <xf numFmtId="164" fontId="3" fillId="0" borderId="0" xfId="1" applyFont="1" applyFill="1" applyAlignment="1" applyProtection="1">
      <alignment vertical="center" wrapText="1"/>
    </xf>
    <xf numFmtId="164" fontId="3" fillId="0" borderId="0" xfId="1" applyFont="1" applyAlignment="1" applyProtection="1">
      <alignment vertical="center" wrapText="1"/>
    </xf>
    <xf numFmtId="164" fontId="0" fillId="0" borderId="1" xfId="1" applyFont="1" applyBorder="1" applyAlignment="1" applyProtection="1">
      <alignment vertical="center" wrapText="1"/>
    </xf>
    <xf numFmtId="0" fontId="16" fillId="0" borderId="1" xfId="0" applyFont="1" applyBorder="1" applyAlignment="1">
      <alignment vertical="center" wrapText="1"/>
    </xf>
    <xf numFmtId="164" fontId="2" fillId="4" borderId="1" xfId="1" applyFont="1" applyFill="1" applyBorder="1" applyAlignment="1" applyProtection="1">
      <alignment vertical="center" wrapText="1"/>
    </xf>
    <xf numFmtId="164" fontId="2" fillId="4" borderId="0" xfId="1" applyFont="1" applyFill="1" applyAlignment="1" applyProtection="1">
      <alignment vertical="center" wrapText="1"/>
    </xf>
    <xf numFmtId="164" fontId="2" fillId="2" borderId="1" xfId="1" applyFont="1" applyFill="1" applyBorder="1" applyAlignment="1" applyProtection="1">
      <alignment vertical="center" wrapText="1"/>
    </xf>
    <xf numFmtId="164" fontId="2" fillId="3" borderId="1" xfId="1" applyFont="1" applyFill="1" applyBorder="1" applyAlignment="1" applyProtection="1">
      <alignment vertical="center" wrapText="1"/>
    </xf>
    <xf numFmtId="164" fontId="0" fillId="0" borderId="1" xfId="1" applyFont="1" applyFill="1" applyBorder="1" applyAlignment="1" applyProtection="1">
      <alignment vertical="center" wrapText="1"/>
    </xf>
    <xf numFmtId="164" fontId="2" fillId="0" borderId="0" xfId="1" applyFont="1" applyFill="1" applyAlignment="1" applyProtection="1">
      <alignment vertical="center" wrapText="1"/>
      <protection locked="0"/>
    </xf>
    <xf numFmtId="164" fontId="2" fillId="3" borderId="1" xfId="1" applyFont="1" applyFill="1" applyBorder="1" applyAlignment="1" applyProtection="1">
      <alignment horizontal="left" vertical="center" wrapText="1"/>
    </xf>
    <xf numFmtId="164" fontId="0" fillId="0" borderId="0" xfId="1" applyFont="1" applyFill="1" applyAlignment="1" applyProtection="1">
      <alignment vertical="center" wrapText="1"/>
      <protection locked="0"/>
    </xf>
    <xf numFmtId="164" fontId="3" fillId="0" borderId="0" xfId="1" applyFont="1" applyFill="1" applyAlignment="1" applyProtection="1">
      <alignment vertical="center" wrapText="1"/>
      <protection locked="0"/>
    </xf>
    <xf numFmtId="164" fontId="2" fillId="0" borderId="0" xfId="1" applyFont="1" applyAlignment="1" applyProtection="1">
      <alignment vertical="center" wrapText="1"/>
      <protection locked="0"/>
    </xf>
    <xf numFmtId="164" fontId="2" fillId="3" borderId="1" xfId="1" applyFont="1" applyFill="1" applyBorder="1" applyAlignment="1" applyProtection="1">
      <alignment vertical="center" wrapText="1"/>
      <protection locked="0"/>
    </xf>
    <xf numFmtId="164" fontId="3" fillId="0" borderId="0" xfId="1" applyFont="1" applyAlignment="1" applyProtection="1">
      <alignment vertical="center" wrapText="1"/>
      <protection locked="0"/>
    </xf>
    <xf numFmtId="164" fontId="2" fillId="0" borderId="1" xfId="1" applyFont="1" applyBorder="1" applyAlignment="1" applyProtection="1">
      <alignment vertical="center" wrapText="1"/>
      <protection locked="0"/>
    </xf>
    <xf numFmtId="164" fontId="2" fillId="6" borderId="0" xfId="1" applyFont="1" applyFill="1" applyAlignment="1" applyProtection="1">
      <alignment vertical="center" wrapText="1"/>
      <protection locked="0"/>
    </xf>
    <xf numFmtId="164" fontId="0" fillId="0" borderId="0" xfId="1" applyFont="1" applyAlignment="1" applyProtection="1">
      <alignment vertical="center" wrapText="1"/>
      <protection locked="0"/>
    </xf>
    <xf numFmtId="164" fontId="2" fillId="4" borderId="1" xfId="1" applyFont="1" applyFill="1" applyBorder="1" applyAlignment="1" applyProtection="1">
      <alignment vertical="center" wrapText="1"/>
      <protection locked="0"/>
    </xf>
    <xf numFmtId="164" fontId="2" fillId="6" borderId="1" xfId="1" applyFont="1" applyFill="1" applyBorder="1" applyAlignment="1" applyProtection="1">
      <alignment vertical="center" wrapText="1"/>
      <protection locked="0"/>
    </xf>
    <xf numFmtId="164" fontId="0" fillId="0" borderId="0" xfId="1" applyFont="1" applyAlignment="1" applyProtection="1">
      <alignment vertical="center"/>
      <protection locked="0"/>
    </xf>
    <xf numFmtId="164" fontId="0" fillId="0" borderId="0" xfId="1" applyFont="1" applyFill="1" applyAlignment="1" applyProtection="1">
      <alignment vertical="center"/>
      <protection locked="0"/>
    </xf>
    <xf numFmtId="167" fontId="0" fillId="0" borderId="0" xfId="1" applyNumberFormat="1" applyFont="1" applyAlignment="1" applyProtection="1">
      <alignment vertical="center" wrapText="1"/>
      <protection locked="0"/>
    </xf>
    <xf numFmtId="1" fontId="0" fillId="0" borderId="0" xfId="0" applyNumberFormat="1"/>
    <xf numFmtId="0" fontId="0" fillId="0" borderId="1" xfId="0" applyBorder="1"/>
    <xf numFmtId="0" fontId="0" fillId="5" borderId="2" xfId="0" applyFill="1" applyBorder="1"/>
    <xf numFmtId="1" fontId="3" fillId="5" borderId="1" xfId="0" applyNumberFormat="1" applyFont="1" applyFill="1" applyBorder="1"/>
    <xf numFmtId="0" fontId="3" fillId="5" borderId="1" xfId="0" applyFont="1" applyFill="1" applyBorder="1"/>
    <xf numFmtId="1" fontId="0" fillId="5" borderId="1" xfId="0" applyNumberFormat="1" applyFill="1" applyBorder="1"/>
    <xf numFmtId="0" fontId="3" fillId="5" borderId="2" xfId="0" applyFont="1" applyFill="1" applyBorder="1"/>
    <xf numFmtId="0" fontId="0" fillId="5" borderId="3" xfId="0" applyFill="1" applyBorder="1"/>
    <xf numFmtId="1" fontId="0" fillId="5" borderId="4" xfId="0" applyNumberFormat="1" applyFill="1" applyBorder="1"/>
    <xf numFmtId="0" fontId="3" fillId="5" borderId="4" xfId="0" applyFont="1" applyFill="1" applyBorder="1"/>
    <xf numFmtId="0" fontId="3" fillId="8" borderId="5" xfId="0" applyFont="1" applyFill="1" applyBorder="1" applyAlignment="1">
      <alignment horizontal="center" vertical="center"/>
    </xf>
    <xf numFmtId="1" fontId="3" fillId="8" borderId="6" xfId="0" applyNumberFormat="1" applyFont="1" applyFill="1" applyBorder="1" applyAlignment="1">
      <alignment horizontal="center" vertical="center"/>
    </xf>
    <xf numFmtId="0" fontId="3" fillId="8" borderId="6" xfId="0" applyFont="1" applyFill="1" applyBorder="1" applyAlignment="1">
      <alignment horizontal="center" vertical="center"/>
    </xf>
    <xf numFmtId="0" fontId="3" fillId="8" borderId="7" xfId="0" applyFont="1" applyFill="1" applyBorder="1" applyAlignment="1">
      <alignment horizontal="center" vertical="center"/>
    </xf>
    <xf numFmtId="0" fontId="3" fillId="5" borderId="3" xfId="0" applyFont="1" applyFill="1" applyBorder="1"/>
    <xf numFmtId="166" fontId="0" fillId="5" borderId="1" xfId="0" applyNumberFormat="1" applyFill="1" applyBorder="1"/>
    <xf numFmtId="0" fontId="3" fillId="8" borderId="1" xfId="0" applyFont="1" applyFill="1" applyBorder="1" applyAlignment="1">
      <alignment horizontal="center" vertical="center" textRotation="90"/>
    </xf>
    <xf numFmtId="168" fontId="17" fillId="5" borderId="8" xfId="5" applyNumberFormat="1" applyFont="1" applyFill="1" applyBorder="1"/>
    <xf numFmtId="168" fontId="0" fillId="5" borderId="8" xfId="0" applyNumberFormat="1" applyFill="1" applyBorder="1"/>
    <xf numFmtId="168" fontId="0" fillId="5" borderId="9" xfId="0" applyNumberFormat="1" applyFill="1" applyBorder="1"/>
    <xf numFmtId="168" fontId="0" fillId="5" borderId="1" xfId="0" applyNumberFormat="1" applyFill="1" applyBorder="1"/>
    <xf numFmtId="168" fontId="0" fillId="0" borderId="1" xfId="0" applyNumberFormat="1" applyBorder="1"/>
    <xf numFmtId="167" fontId="3" fillId="0" borderId="1" xfId="1" applyNumberFormat="1" applyFont="1" applyFill="1" applyBorder="1" applyAlignment="1" applyProtection="1">
      <alignment horizontal="right" vertical="center" wrapText="1"/>
      <protection locked="0"/>
    </xf>
    <xf numFmtId="167" fontId="3" fillId="0" borderId="0" xfId="1" applyNumberFormat="1" applyFont="1" applyFill="1" applyAlignment="1" applyProtection="1">
      <alignment vertical="center" wrapText="1"/>
      <protection locked="0"/>
    </xf>
    <xf numFmtId="167" fontId="3" fillId="0" borderId="1" xfId="1" applyNumberFormat="1" applyFont="1" applyFill="1" applyBorder="1" applyAlignment="1" applyProtection="1">
      <alignment vertical="center" wrapText="1"/>
      <protection locked="0"/>
    </xf>
    <xf numFmtId="167" fontId="0" fillId="0" borderId="0" xfId="1" applyNumberFormat="1" applyFont="1" applyFill="1" applyAlignment="1" applyProtection="1">
      <alignment vertical="center" wrapText="1"/>
    </xf>
    <xf numFmtId="167" fontId="0" fillId="0" borderId="0" xfId="1" applyNumberFormat="1" applyFont="1" applyFill="1" applyAlignment="1" applyProtection="1">
      <alignment horizontal="center" vertical="center" wrapText="1"/>
    </xf>
    <xf numFmtId="167" fontId="2" fillId="0" borderId="0" xfId="1" applyNumberFormat="1" applyFont="1" applyFill="1" applyAlignment="1" applyProtection="1">
      <alignment vertical="center" wrapText="1"/>
    </xf>
    <xf numFmtId="167" fontId="3" fillId="0" borderId="0" xfId="1" applyNumberFormat="1" applyFont="1" applyFill="1" applyAlignment="1" applyProtection="1">
      <alignment vertical="center" wrapText="1"/>
    </xf>
    <xf numFmtId="167" fontId="0" fillId="0" borderId="0" xfId="1" applyNumberFormat="1" applyFont="1" applyFill="1" applyAlignment="1" applyProtection="1">
      <alignment vertical="center" wrapText="1"/>
      <protection locked="0"/>
    </xf>
    <xf numFmtId="167" fontId="0" fillId="0" borderId="0" xfId="1" applyNumberFormat="1" applyFont="1" applyFill="1" applyAlignment="1" applyProtection="1">
      <alignment vertical="center"/>
      <protection locked="0"/>
    </xf>
    <xf numFmtId="167" fontId="2" fillId="0" borderId="1" xfId="1" applyNumberFormat="1" applyFont="1" applyFill="1" applyBorder="1" applyAlignment="1" applyProtection="1">
      <alignment vertical="center" wrapText="1"/>
    </xf>
    <xf numFmtId="167" fontId="2" fillId="0" borderId="1" xfId="1" applyNumberFormat="1" applyFont="1" applyBorder="1" applyAlignment="1" applyProtection="1">
      <alignment horizontal="right" vertical="center" wrapText="1"/>
      <protection locked="0"/>
    </xf>
    <xf numFmtId="167" fontId="2" fillId="3" borderId="1" xfId="1" applyNumberFormat="1" applyFont="1" applyFill="1" applyBorder="1" applyAlignment="1" applyProtection="1">
      <alignment vertical="center" wrapText="1"/>
    </xf>
    <xf numFmtId="167" fontId="2" fillId="3" borderId="1" xfId="1" applyNumberFormat="1" applyFont="1" applyFill="1" applyBorder="1" applyAlignment="1" applyProtection="1">
      <alignment horizontal="right" vertical="center" wrapText="1"/>
      <protection locked="0"/>
    </xf>
    <xf numFmtId="167" fontId="2" fillId="2" borderId="1" xfId="1" applyNumberFormat="1" applyFont="1" applyFill="1" applyBorder="1" applyAlignment="1" applyProtection="1">
      <alignment vertical="center" wrapText="1"/>
    </xf>
    <xf numFmtId="167" fontId="3" fillId="2" borderId="1" xfId="1" applyNumberFormat="1" applyFont="1" applyFill="1" applyBorder="1" applyAlignment="1" applyProtection="1">
      <alignment vertical="center" wrapText="1"/>
    </xf>
    <xf numFmtId="167" fontId="2" fillId="2" borderId="1" xfId="1" applyNumberFormat="1" applyFont="1" applyFill="1" applyBorder="1" applyAlignment="1" applyProtection="1">
      <alignment horizontal="right" vertical="center" wrapText="1"/>
      <protection locked="0"/>
    </xf>
    <xf numFmtId="167" fontId="3" fillId="0" borderId="1" xfId="1" applyNumberFormat="1" applyFont="1" applyFill="1" applyBorder="1" applyAlignment="1" applyProtection="1">
      <alignment vertical="center" wrapText="1"/>
    </xf>
    <xf numFmtId="167" fontId="3" fillId="0" borderId="1" xfId="1" applyNumberFormat="1" applyFont="1" applyBorder="1" applyAlignment="1" applyProtection="1">
      <alignment vertical="center" wrapText="1"/>
    </xf>
    <xf numFmtId="167" fontId="2" fillId="2" borderId="1" xfId="1" applyNumberFormat="1" applyFont="1" applyFill="1" applyBorder="1" applyAlignment="1" applyProtection="1">
      <alignment vertical="center" wrapText="1"/>
      <protection locked="0"/>
    </xf>
    <xf numFmtId="167" fontId="14" fillId="0" borderId="1" xfId="2" applyNumberFormat="1" applyFont="1" applyFill="1" applyBorder="1" applyAlignment="1">
      <alignment horizontal="right" vertical="center" wrapText="1"/>
    </xf>
    <xf numFmtId="167" fontId="2" fillId="0" borderId="1" xfId="1" applyNumberFormat="1" applyFont="1" applyFill="1" applyBorder="1" applyAlignment="1" applyProtection="1">
      <alignment vertical="center" wrapText="1"/>
      <protection locked="0"/>
    </xf>
    <xf numFmtId="167" fontId="2" fillId="0" borderId="1" xfId="1" applyNumberFormat="1" applyFont="1" applyFill="1" applyBorder="1" applyAlignment="1" applyProtection="1">
      <alignment horizontal="right" vertical="center" wrapText="1"/>
      <protection locked="0"/>
    </xf>
    <xf numFmtId="167" fontId="2" fillId="3" borderId="1" xfId="1" applyNumberFormat="1" applyFont="1" applyFill="1" applyBorder="1" applyAlignment="1" applyProtection="1">
      <alignment vertical="center" wrapText="1"/>
      <protection locked="0"/>
    </xf>
    <xf numFmtId="167" fontId="3" fillId="0" borderId="1" xfId="1" applyNumberFormat="1" applyFont="1" applyBorder="1" applyAlignment="1" applyProtection="1">
      <alignment vertical="center" wrapText="1"/>
      <protection locked="0"/>
    </xf>
    <xf numFmtId="167" fontId="2" fillId="0" borderId="1" xfId="1" applyNumberFormat="1" applyFont="1" applyBorder="1" applyAlignment="1" applyProtection="1">
      <alignment vertical="center" wrapText="1"/>
      <protection locked="0"/>
    </xf>
    <xf numFmtId="167" fontId="0" fillId="0" borderId="1" xfId="1" applyNumberFormat="1" applyFont="1" applyBorder="1" applyAlignment="1" applyProtection="1">
      <alignment vertical="center" wrapText="1"/>
      <protection locked="0"/>
    </xf>
    <xf numFmtId="167" fontId="2" fillId="4" borderId="1" xfId="1" applyNumberFormat="1" applyFont="1" applyFill="1" applyBorder="1" applyAlignment="1" applyProtection="1">
      <alignment vertical="center" wrapText="1"/>
      <protection locked="0"/>
    </xf>
    <xf numFmtId="167" fontId="2" fillId="6" borderId="1" xfId="1" applyNumberFormat="1" applyFont="1" applyFill="1" applyBorder="1" applyAlignment="1" applyProtection="1">
      <alignment vertical="center" wrapText="1"/>
      <protection locked="0"/>
    </xf>
    <xf numFmtId="167" fontId="2" fillId="6" borderId="1" xfId="1" applyNumberFormat="1" applyFont="1" applyFill="1" applyBorder="1" applyAlignment="1" applyProtection="1">
      <alignment horizontal="right" vertical="center" wrapText="1"/>
      <protection locked="0"/>
    </xf>
    <xf numFmtId="164" fontId="1" fillId="0" borderId="1" xfId="1" applyFont="1" applyFill="1" applyBorder="1" applyAlignment="1" applyProtection="1">
      <alignment vertical="center" wrapText="1"/>
    </xf>
    <xf numFmtId="0" fontId="2" fillId="2" borderId="1" xfId="1" applyNumberFormat="1" applyFont="1" applyFill="1" applyBorder="1" applyAlignment="1" applyProtection="1">
      <alignment horizontal="left" vertical="center" wrapText="1"/>
    </xf>
    <xf numFmtId="0" fontId="16" fillId="0" borderId="10" xfId="0" applyFont="1" applyBorder="1" applyAlignment="1">
      <alignment vertical="center"/>
    </xf>
    <xf numFmtId="167" fontId="1" fillId="0" borderId="1" xfId="1" applyNumberFormat="1" applyFont="1" applyFill="1" applyBorder="1" applyAlignment="1" applyProtection="1">
      <alignment vertical="center" wrapText="1"/>
    </xf>
    <xf numFmtId="167" fontId="1" fillId="0" borderId="1" xfId="1" applyNumberFormat="1" applyFont="1" applyFill="1" applyBorder="1" applyAlignment="1" applyProtection="1">
      <alignment vertical="center" wrapText="1"/>
      <protection locked="0"/>
    </xf>
    <xf numFmtId="0" fontId="14" fillId="0" borderId="10" xfId="0" applyFont="1" applyBorder="1" applyAlignment="1">
      <alignment vertical="center"/>
    </xf>
    <xf numFmtId="164" fontId="1" fillId="0" borderId="1" xfId="1" applyFont="1" applyFill="1" applyBorder="1" applyAlignment="1" applyProtection="1">
      <alignment horizontal="left" vertical="center" wrapText="1"/>
    </xf>
    <xf numFmtId="167" fontId="1" fillId="0" borderId="1" xfId="1" applyNumberFormat="1" applyFont="1" applyFill="1" applyBorder="1" applyAlignment="1" applyProtection="1">
      <alignment horizontal="right" vertical="center" wrapText="1"/>
      <protection locked="0"/>
    </xf>
    <xf numFmtId="167" fontId="0" fillId="0" borderId="0" xfId="1" applyNumberFormat="1" applyFont="1" applyAlignment="1" applyProtection="1">
      <alignment vertical="center" wrapText="1"/>
    </xf>
    <xf numFmtId="167" fontId="2" fillId="0" borderId="1" xfId="1" applyNumberFormat="1" applyFont="1" applyFill="1" applyBorder="1" applyAlignment="1" applyProtection="1">
      <alignment horizontal="center" vertical="center" textRotation="90" wrapText="1"/>
    </xf>
    <xf numFmtId="167" fontId="2" fillId="0" borderId="1" xfId="1" applyNumberFormat="1" applyFont="1" applyBorder="1" applyAlignment="1" applyProtection="1">
      <alignment horizontal="center" vertical="center" wrapText="1"/>
    </xf>
    <xf numFmtId="167" fontId="3" fillId="0" borderId="1" xfId="1" applyNumberFormat="1" applyFont="1" applyBorder="1" applyAlignment="1" applyProtection="1">
      <alignment horizontal="center" vertical="center" wrapText="1"/>
    </xf>
    <xf numFmtId="167" fontId="0" fillId="0" borderId="1" xfId="1" applyNumberFormat="1" applyFont="1" applyBorder="1" applyAlignment="1" applyProtection="1">
      <alignment horizontal="center" vertical="center" wrapText="1"/>
    </xf>
    <xf numFmtId="167" fontId="2" fillId="0" borderId="1" xfId="1" applyNumberFormat="1" applyFont="1" applyFill="1" applyBorder="1" applyAlignment="1" applyProtection="1">
      <alignment horizontal="center" vertical="center" wrapText="1"/>
    </xf>
    <xf numFmtId="167" fontId="4" fillId="0" borderId="1" xfId="1" applyNumberFormat="1" applyFont="1" applyFill="1" applyBorder="1" applyAlignment="1" applyProtection="1">
      <alignment horizontal="center" vertical="center" wrapText="1"/>
    </xf>
    <xf numFmtId="167" fontId="16" fillId="0" borderId="1" xfId="2" applyNumberFormat="1" applyFont="1" applyFill="1" applyBorder="1" applyAlignment="1">
      <alignment horizontal="right" vertical="center" wrapText="1"/>
    </xf>
    <xf numFmtId="167" fontId="16" fillId="0" borderId="1" xfId="2" applyNumberFormat="1" applyFont="1" applyBorder="1" applyAlignment="1">
      <alignment horizontal="right" vertical="center" wrapText="1"/>
    </xf>
    <xf numFmtId="167" fontId="18" fillId="0" borderId="1" xfId="2" applyNumberFormat="1" applyFont="1" applyFill="1" applyBorder="1" applyAlignment="1">
      <alignment horizontal="justify" vertical="center" wrapText="1"/>
    </xf>
    <xf numFmtId="167" fontId="2" fillId="4" borderId="1" xfId="1" applyNumberFormat="1" applyFont="1" applyFill="1" applyBorder="1" applyAlignment="1" applyProtection="1">
      <alignment horizontal="center" vertical="center" wrapText="1"/>
    </xf>
    <xf numFmtId="167" fontId="2" fillId="0" borderId="1" xfId="1" applyNumberFormat="1" applyFont="1" applyBorder="1" applyAlignment="1" applyProtection="1">
      <alignment vertical="center" wrapText="1"/>
    </xf>
    <xf numFmtId="167" fontId="3" fillId="0" borderId="2" xfId="1" applyNumberFormat="1" applyFont="1" applyFill="1" applyBorder="1" applyAlignment="1" applyProtection="1">
      <alignment vertical="center" wrapText="1"/>
    </xf>
    <xf numFmtId="167" fontId="4" fillId="0" borderId="1" xfId="1" applyNumberFormat="1" applyFont="1" applyFill="1" applyBorder="1" applyAlignment="1" applyProtection="1">
      <alignment vertical="center" wrapText="1"/>
    </xf>
    <xf numFmtId="167" fontId="0" fillId="0" borderId="1" xfId="1" applyNumberFormat="1" applyFont="1" applyBorder="1" applyAlignment="1" applyProtection="1">
      <alignment vertical="center" wrapText="1"/>
    </xf>
    <xf numFmtId="167" fontId="0" fillId="0" borderId="0" xfId="1" applyNumberFormat="1" applyFont="1" applyAlignment="1" applyProtection="1">
      <alignment vertical="center"/>
      <protection locked="0"/>
    </xf>
    <xf numFmtId="167" fontId="3" fillId="0" borderId="0" xfId="1" applyNumberFormat="1" applyFont="1" applyFill="1" applyAlignment="1" applyProtection="1">
      <alignment vertical="center"/>
      <protection locked="0"/>
    </xf>
    <xf numFmtId="167" fontId="2" fillId="0" borderId="0" xfId="1" applyNumberFormat="1" applyFont="1" applyAlignment="1" applyProtection="1">
      <alignment vertical="center" wrapText="1"/>
    </xf>
    <xf numFmtId="167" fontId="3" fillId="0" borderId="1" xfId="1" applyNumberFormat="1" applyFont="1" applyFill="1" applyBorder="1" applyAlignment="1" applyProtection="1">
      <alignment horizontal="right" vertical="center" wrapText="1"/>
    </xf>
    <xf numFmtId="167" fontId="2" fillId="0" borderId="0" xfId="1" applyNumberFormat="1" applyFont="1" applyFill="1" applyAlignment="1" applyProtection="1">
      <alignment vertical="center" wrapText="1"/>
      <protection locked="0"/>
    </xf>
    <xf numFmtId="167" fontId="2" fillId="0" borderId="0" xfId="1" applyNumberFormat="1" applyFont="1" applyFill="1" applyAlignment="1" applyProtection="1">
      <alignment vertical="center"/>
      <protection locked="0"/>
    </xf>
    <xf numFmtId="167" fontId="2" fillId="0" borderId="0" xfId="1" applyNumberFormat="1" applyFont="1" applyAlignment="1" applyProtection="1">
      <alignment vertical="center" wrapText="1"/>
      <protection locked="0"/>
    </xf>
    <xf numFmtId="167" fontId="2" fillId="7" borderId="1" xfId="1" applyNumberFormat="1" applyFont="1" applyFill="1" applyBorder="1" applyAlignment="1" applyProtection="1">
      <alignment horizontal="center" vertical="center" wrapText="1"/>
    </xf>
    <xf numFmtId="167" fontId="1" fillId="0" borderId="1" xfId="1" applyNumberFormat="1" applyFont="1" applyFill="1" applyBorder="1" applyAlignment="1" applyProtection="1">
      <alignment horizontal="right" vertical="center" wrapText="1"/>
    </xf>
    <xf numFmtId="167" fontId="4" fillId="0" borderId="1" xfId="1" applyNumberFormat="1" applyFont="1" applyFill="1" applyBorder="1" applyAlignment="1" applyProtection="1">
      <alignment horizontal="right" vertical="center" wrapText="1"/>
    </xf>
    <xf numFmtId="167" fontId="0" fillId="0" borderId="1" xfId="1" applyNumberFormat="1" applyFont="1" applyBorder="1" applyAlignment="1" applyProtection="1">
      <alignment horizontal="right" vertical="center" wrapText="1"/>
    </xf>
    <xf numFmtId="167" fontId="6" fillId="0" borderId="0" xfId="1" applyNumberFormat="1" applyFont="1" applyFill="1" applyAlignment="1" applyProtection="1">
      <alignment vertical="center" wrapText="1"/>
      <protection locked="0"/>
    </xf>
    <xf numFmtId="167" fontId="5" fillId="0" borderId="0" xfId="1" applyNumberFormat="1" applyFont="1" applyFill="1" applyAlignment="1" applyProtection="1">
      <alignment vertical="center" wrapText="1"/>
      <protection locked="0"/>
    </xf>
    <xf numFmtId="167" fontId="13" fillId="0" borderId="0" xfId="1" applyNumberFormat="1" applyFont="1" applyAlignment="1" applyProtection="1">
      <alignment vertical="center"/>
      <protection locked="0"/>
    </xf>
    <xf numFmtId="167" fontId="13" fillId="0" borderId="0" xfId="1" applyNumberFormat="1" applyFont="1" applyFill="1" applyAlignment="1" applyProtection="1">
      <alignment vertical="center"/>
      <protection locked="0"/>
    </xf>
    <xf numFmtId="167" fontId="1" fillId="0" borderId="0" xfId="0" applyNumberFormat="1" applyFont="1"/>
    <xf numFmtId="167" fontId="4" fillId="5" borderId="1" xfId="1" applyNumberFormat="1" applyFont="1" applyFill="1" applyBorder="1" applyAlignment="1" applyProtection="1">
      <alignment horizontal="center" vertical="center" wrapText="1"/>
    </xf>
    <xf numFmtId="167" fontId="2" fillId="0" borderId="1" xfId="1" applyNumberFormat="1" applyFont="1" applyBorder="1" applyAlignment="1" applyProtection="1">
      <alignment horizontal="right" vertical="center" wrapText="1"/>
    </xf>
    <xf numFmtId="167" fontId="9" fillId="2" borderId="1" xfId="1" applyNumberFormat="1" applyFont="1" applyFill="1" applyBorder="1" applyAlignment="1" applyProtection="1">
      <alignment vertical="center" wrapText="1"/>
    </xf>
    <xf numFmtId="167" fontId="12" fillId="0" borderId="1" xfId="1" applyNumberFormat="1" applyFont="1" applyFill="1" applyBorder="1" applyAlignment="1" applyProtection="1">
      <alignment horizontal="right" vertical="center" wrapText="1"/>
    </xf>
    <xf numFmtId="167" fontId="2" fillId="3" borderId="1" xfId="1" applyNumberFormat="1" applyFont="1" applyFill="1" applyBorder="1" applyAlignment="1" applyProtection="1">
      <alignment horizontal="right" vertical="center" wrapText="1"/>
    </xf>
    <xf numFmtId="167" fontId="2" fillId="2" borderId="1" xfId="1" applyNumberFormat="1" applyFont="1" applyFill="1" applyBorder="1" applyAlignment="1" applyProtection="1">
      <alignment horizontal="right" vertical="center" wrapText="1"/>
    </xf>
    <xf numFmtId="167" fontId="2" fillId="0" borderId="1" xfId="1" applyNumberFormat="1" applyFont="1" applyFill="1" applyBorder="1" applyAlignment="1" applyProtection="1">
      <alignment horizontal="right" vertical="center" wrapText="1"/>
    </xf>
    <xf numFmtId="167" fontId="4" fillId="9" borderId="1" xfId="1" applyNumberFormat="1" applyFont="1" applyFill="1" applyBorder="1" applyAlignment="1" applyProtection="1">
      <alignment horizontal="center" vertical="center" wrapText="1"/>
    </xf>
    <xf numFmtId="167" fontId="3" fillId="9" borderId="1" xfId="1" applyNumberFormat="1" applyFont="1" applyFill="1" applyBorder="1" applyAlignment="1" applyProtection="1">
      <alignment vertical="center" wrapText="1"/>
    </xf>
    <xf numFmtId="0" fontId="16" fillId="9" borderId="10" xfId="0" applyFont="1" applyFill="1" applyBorder="1" applyAlignment="1">
      <alignment vertical="center"/>
    </xf>
    <xf numFmtId="164" fontId="3" fillId="9" borderId="1" xfId="1" applyFont="1" applyFill="1" applyBorder="1" applyAlignment="1" applyProtection="1">
      <alignment vertical="center" wrapText="1"/>
    </xf>
    <xf numFmtId="0" fontId="16" fillId="10" borderId="10" xfId="0" applyFont="1" applyFill="1" applyBorder="1" applyAlignment="1">
      <alignment vertical="center"/>
    </xf>
    <xf numFmtId="167" fontId="16" fillId="10" borderId="1" xfId="2" applyNumberFormat="1" applyFont="1" applyFill="1" applyBorder="1" applyAlignment="1">
      <alignment horizontal="right" vertical="center" wrapText="1"/>
    </xf>
    <xf numFmtId="167" fontId="3" fillId="10" borderId="1" xfId="1" applyNumberFormat="1" applyFont="1" applyFill="1" applyBorder="1" applyAlignment="1" applyProtection="1">
      <alignment vertical="center" wrapText="1"/>
    </xf>
    <xf numFmtId="167" fontId="4" fillId="10" borderId="1" xfId="1" applyNumberFormat="1" applyFont="1" applyFill="1" applyBorder="1" applyAlignment="1" applyProtection="1">
      <alignment horizontal="center" vertical="center" wrapText="1"/>
    </xf>
    <xf numFmtId="164" fontId="1" fillId="0" borderId="1" xfId="1" applyFont="1" applyFill="1" applyBorder="1" applyAlignment="1" applyProtection="1">
      <alignment vertical="center" wrapText="1"/>
      <protection locked="0"/>
    </xf>
    <xf numFmtId="167" fontId="1" fillId="0" borderId="1" xfId="1" applyNumberFormat="1" applyFont="1" applyBorder="1" applyAlignment="1" applyProtection="1">
      <alignment vertical="center" wrapText="1"/>
      <protection locked="0"/>
    </xf>
    <xf numFmtId="167" fontId="0" fillId="0" borderId="8" xfId="1" applyNumberFormat="1" applyFont="1" applyBorder="1" applyAlignment="1" applyProtection="1">
      <alignment vertical="center" wrapText="1"/>
      <protection locked="0"/>
    </xf>
    <xf numFmtId="167" fontId="3" fillId="0" borderId="0" xfId="1" applyNumberFormat="1" applyFont="1" applyFill="1" applyBorder="1" applyAlignment="1" applyProtection="1">
      <alignment vertical="center" wrapText="1"/>
      <protection locked="0"/>
    </xf>
    <xf numFmtId="164" fontId="0" fillId="0" borderId="0" xfId="1" applyFont="1" applyFill="1" applyBorder="1" applyAlignment="1" applyProtection="1">
      <alignment vertical="center" wrapText="1"/>
      <protection locked="0"/>
    </xf>
    <xf numFmtId="169" fontId="19" fillId="0" borderId="0" xfId="0" applyNumberFormat="1" applyFont="1" applyAlignment="1">
      <alignment horizontal="right" vertical="center"/>
    </xf>
    <xf numFmtId="1" fontId="1" fillId="0" borderId="0" xfId="1" applyNumberFormat="1" applyFont="1" applyFill="1" applyAlignment="1" applyProtection="1">
      <alignment horizontal="center" vertical="center" wrapText="1"/>
      <protection locked="0"/>
    </xf>
    <xf numFmtId="164" fontId="1" fillId="0" borderId="0" xfId="1" applyFont="1" applyAlignment="1" applyProtection="1">
      <alignment horizontal="center" vertical="center" wrapText="1"/>
    </xf>
    <xf numFmtId="164" fontId="1" fillId="0" borderId="0" xfId="1" applyFont="1" applyFill="1" applyAlignment="1" applyProtection="1">
      <alignment horizontal="center" vertical="center" wrapText="1"/>
    </xf>
    <xf numFmtId="164" fontId="2" fillId="0" borderId="0" xfId="1" applyFont="1" applyAlignment="1" applyProtection="1">
      <alignment horizontal="center" vertical="center" wrapText="1"/>
    </xf>
    <xf numFmtId="164" fontId="2" fillId="4" borderId="0" xfId="1" applyFont="1" applyFill="1" applyAlignment="1" applyProtection="1">
      <alignment horizontal="center" vertical="center" wrapText="1"/>
    </xf>
    <xf numFmtId="164" fontId="2" fillId="0" borderId="0" xfId="1" applyFont="1" applyFill="1" applyAlignment="1" applyProtection="1">
      <alignment horizontal="center" vertical="center" wrapText="1"/>
      <protection locked="0"/>
    </xf>
    <xf numFmtId="164" fontId="1" fillId="0" borderId="0" xfId="1" applyFont="1" applyFill="1" applyAlignment="1" applyProtection="1">
      <alignment horizontal="center" vertical="center" wrapText="1"/>
      <protection locked="0"/>
    </xf>
    <xf numFmtId="164" fontId="2" fillId="0" borderId="0" xfId="1" applyFont="1" applyAlignment="1" applyProtection="1">
      <alignment horizontal="center" vertical="center" wrapText="1"/>
      <protection locked="0"/>
    </xf>
    <xf numFmtId="164" fontId="1" fillId="0" borderId="0" xfId="1" applyFont="1" applyAlignment="1" applyProtection="1">
      <alignment horizontal="center" vertical="center" wrapText="1"/>
      <protection locked="0"/>
    </xf>
    <xf numFmtId="1" fontId="20" fillId="7" borderId="1" xfId="0" applyNumberFormat="1" applyFont="1" applyFill="1" applyBorder="1" applyAlignment="1">
      <alignment horizontal="center" vertical="center"/>
    </xf>
    <xf numFmtId="1" fontId="20" fillId="7" borderId="0" xfId="0" applyNumberFormat="1" applyFont="1" applyFill="1" applyAlignment="1">
      <alignment horizontal="center" vertical="center"/>
    </xf>
    <xf numFmtId="164" fontId="2" fillId="6" borderId="0" xfId="1" applyFont="1" applyFill="1" applyAlignment="1" applyProtection="1">
      <alignment horizontal="center" vertical="center" wrapText="1"/>
      <protection locked="0"/>
    </xf>
    <xf numFmtId="164" fontId="1" fillId="0" borderId="0" xfId="1" applyFont="1" applyAlignment="1" applyProtection="1">
      <alignment horizontal="center" vertical="center"/>
      <protection locked="0"/>
    </xf>
    <xf numFmtId="164" fontId="12" fillId="0" borderId="1" xfId="1" applyFont="1" applyFill="1" applyBorder="1" applyAlignment="1" applyProtection="1">
      <alignment horizontal="left" vertical="center" wrapText="1"/>
      <protection locked="0"/>
    </xf>
    <xf numFmtId="167" fontId="1" fillId="0" borderId="1" xfId="1" applyNumberFormat="1" applyFont="1" applyBorder="1" applyAlignment="1" applyProtection="1">
      <alignment vertical="center" wrapText="1"/>
    </xf>
    <xf numFmtId="164" fontId="0" fillId="0" borderId="0" xfId="1" applyFont="1" applyAlignment="1" applyProtection="1">
      <alignment horizontal="left" vertical="center" wrapText="1"/>
    </xf>
    <xf numFmtId="164" fontId="2" fillId="0" borderId="1" xfId="1" applyFont="1" applyFill="1" applyBorder="1" applyAlignment="1" applyProtection="1">
      <alignment horizontal="left" vertical="center" textRotation="90" wrapText="1"/>
    </xf>
    <xf numFmtId="164" fontId="2" fillId="0" borderId="1" xfId="1" applyFont="1" applyBorder="1" applyAlignment="1" applyProtection="1">
      <alignment horizontal="left" vertical="center" wrapText="1"/>
    </xf>
    <xf numFmtId="164" fontId="3" fillId="0" borderId="1" xfId="1" applyFont="1" applyBorder="1" applyAlignment="1" applyProtection="1">
      <alignment horizontal="left" vertical="center" wrapText="1"/>
    </xf>
    <xf numFmtId="164" fontId="0" fillId="0" borderId="1" xfId="1" applyFont="1" applyBorder="1" applyAlignment="1" applyProtection="1">
      <alignment horizontal="left" vertical="center" wrapText="1"/>
    </xf>
    <xf numFmtId="164" fontId="2" fillId="0" borderId="1" xfId="1" applyFont="1" applyFill="1" applyBorder="1" applyAlignment="1" applyProtection="1">
      <alignment horizontal="left" vertical="center" wrapText="1"/>
    </xf>
    <xf numFmtId="164" fontId="4" fillId="0" borderId="1" xfId="1" applyFont="1" applyFill="1" applyBorder="1" applyAlignment="1" applyProtection="1">
      <alignment horizontal="left" vertical="center" wrapText="1"/>
    </xf>
    <xf numFmtId="164" fontId="2" fillId="4" borderId="1" xfId="1" applyFont="1" applyFill="1" applyBorder="1" applyAlignment="1" applyProtection="1">
      <alignment horizontal="left" vertical="center" wrapText="1"/>
    </xf>
    <xf numFmtId="164" fontId="1" fillId="0" borderId="8" xfId="1" applyFont="1" applyFill="1" applyBorder="1" applyAlignment="1" applyProtection="1">
      <alignment horizontal="left" vertical="center" wrapText="1"/>
    </xf>
    <xf numFmtId="164" fontId="3" fillId="0" borderId="8" xfId="1" applyFont="1" applyFill="1" applyBorder="1" applyAlignment="1" applyProtection="1">
      <alignment horizontal="left" vertical="center" wrapText="1"/>
    </xf>
    <xf numFmtId="0" fontId="14" fillId="0" borderId="8" xfId="0" applyFont="1" applyBorder="1" applyAlignment="1">
      <alignment horizontal="left" vertical="center" wrapText="1"/>
    </xf>
    <xf numFmtId="164" fontId="9" fillId="3" borderId="1" xfId="1" applyFont="1" applyFill="1" applyBorder="1" applyAlignment="1" applyProtection="1">
      <alignment horizontal="left" vertical="center" wrapText="1"/>
      <protection locked="0"/>
    </xf>
    <xf numFmtId="164" fontId="2" fillId="0" borderId="1" xfId="1" applyFont="1" applyBorder="1" applyAlignment="1" applyProtection="1">
      <alignment horizontal="left" vertical="center" wrapText="1"/>
      <protection locked="0"/>
    </xf>
    <xf numFmtId="164" fontId="1" fillId="0" borderId="1" xfId="1" applyFont="1" applyBorder="1" applyAlignment="1" applyProtection="1">
      <alignment horizontal="left" vertical="center" wrapText="1"/>
      <protection locked="0"/>
    </xf>
    <xf numFmtId="164" fontId="2" fillId="4" borderId="1" xfId="1" applyFont="1" applyFill="1" applyBorder="1" applyAlignment="1" applyProtection="1">
      <alignment horizontal="left" vertical="center" wrapText="1"/>
      <protection locked="0"/>
    </xf>
    <xf numFmtId="164" fontId="2" fillId="6" borderId="1" xfId="1" applyFont="1" applyFill="1" applyBorder="1" applyAlignment="1" applyProtection="1">
      <alignment horizontal="left" vertical="center" wrapText="1"/>
      <protection locked="0"/>
    </xf>
    <xf numFmtId="164" fontId="0" fillId="0" borderId="0" xfId="1" applyFont="1" applyAlignment="1" applyProtection="1">
      <alignment horizontal="left" vertical="center" wrapText="1"/>
      <protection locked="0"/>
    </xf>
    <xf numFmtId="164" fontId="13" fillId="0" borderId="0" xfId="1" applyFont="1" applyAlignment="1" applyProtection="1">
      <alignment horizontal="left" vertical="center"/>
      <protection locked="0"/>
    </xf>
    <xf numFmtId="164" fontId="13" fillId="0" borderId="0" xfId="1" applyFont="1" applyFill="1" applyAlignment="1" applyProtection="1">
      <alignment horizontal="left" vertical="center"/>
      <protection locked="0"/>
    </xf>
    <xf numFmtId="164" fontId="7" fillId="0" borderId="0" xfId="1" applyFont="1" applyAlignment="1" applyProtection="1">
      <alignment horizontal="left" vertical="center" wrapText="1"/>
    </xf>
    <xf numFmtId="164" fontId="7" fillId="0" borderId="0" xfId="1" applyFont="1" applyAlignment="1" applyProtection="1">
      <alignment vertical="center" wrapText="1"/>
    </xf>
    <xf numFmtId="9" fontId="3" fillId="0" borderId="1" xfId="9" applyFont="1" applyBorder="1" applyAlignment="1" applyProtection="1">
      <alignment horizontal="center" vertical="center" wrapText="1"/>
    </xf>
  </cellXfs>
  <cellStyles count="10">
    <cellStyle name="Millares [0]" xfId="1" builtinId="6"/>
    <cellStyle name="Millares [0] 2" xfId="2" xr:uid="{00000000-0005-0000-0000-000001000000}"/>
    <cellStyle name="Millares [0] 3" xfId="3" xr:uid="{00000000-0005-0000-0000-000002000000}"/>
    <cellStyle name="Millares 2" xfId="4" xr:uid="{00000000-0005-0000-0000-000003000000}"/>
    <cellStyle name="Moneda" xfId="5" builtinId="4"/>
    <cellStyle name="Normal" xfId="0" builtinId="0"/>
    <cellStyle name="Normal 2" xfId="6" xr:uid="{00000000-0005-0000-0000-000006000000}"/>
    <cellStyle name="Normal 3" xfId="7" xr:uid="{00000000-0005-0000-0000-000007000000}"/>
    <cellStyle name="Porcentaje" xfId="9" builtinId="5"/>
    <cellStyle name="Porcentaje 2" xfId="8" xr:uid="{00000000-0005-0000-0000-000008000000}"/>
  </cellStyles>
  <dxfs count="37">
    <dxf>
      <border diagonalUp="0" diagonalDown="0" outline="0">
        <left style="thin">
          <color indexed="64"/>
        </left>
        <right style="thin">
          <color indexed="64"/>
        </right>
        <top style="thin">
          <color indexed="64"/>
        </top>
        <bottom style="thin">
          <color indexed="64"/>
        </bottom>
      </border>
    </dxf>
    <dxf>
      <numFmt numFmtId="166" formatCode="_-[$$-240A]\ * #,##0.00_-;\-[$$-240A]\ * #,##0.00_-;_-[$$-240A]\ * &quot;-&quot;??_-;_-@_-"/>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66" formatCode="_-[$$-240A]\ * #,##0.00_-;\-[$$-240A]\ * #,##0.00_-;_-[$$-240A]\ * &quot;-&quot;??_-;_-@_-"/>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66" formatCode="_-[$$-240A]\ * #,##0.00_-;\-[$$-240A]\ * #,##0.00_-;_-[$$-240A]\ * &quot;-&quot;??_-;_-@_-"/>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66" formatCode="_-[$$-240A]\ * #,##0.00_-;\-[$$-240A]\ * #,##0.00_-;_-[$$-240A]\ * &quot;-&quot;??_-;_-@_-"/>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66" formatCode="_-[$$-240A]\ * #,##0.00_-;\-[$$-240A]\ * #,##0.00_-;_-[$$-240A]\ * &quot;-&quot;??_-;_-@_-"/>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66" formatCode="_-[$$-240A]\ * #,##0.00_-;\-[$$-240A]\ * #,##0.00_-;_-[$$-240A]\ * &quot;-&quot;??_-;_-@_-"/>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66" formatCode="_-[$$-240A]\ * #,##0.00_-;\-[$$-240A]\ * #,##0.00_-;_-[$$-240A]\ * &quot;-&quot;??_-;_-@_-"/>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numFmt numFmtId="166" formatCode="_-[$$-240A]\ * #,##0.00_-;\-[$$-240A]\ * #,##0.00_-;_-[$$-240A]\ * &quot;-&quot;??_-;_-@_-"/>
      <border diagonalUp="0" diagonalDown="0" outline="0">
        <left style="thin">
          <color indexed="64"/>
        </left>
        <right style="thin">
          <color indexed="64"/>
        </right>
        <top style="thin">
          <color indexed="64"/>
        </top>
        <bottom style="thin">
          <color indexed="64"/>
        </bottom>
      </border>
    </dxf>
    <dxf>
      <numFmt numFmtId="168" formatCode="&quot;$&quot;\ #,##0.00"/>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66" formatCode="_-[$$-240A]\ * #,##0.00_-;\-[$$-240A]\ * #,##0.00_-;_-[$$-240A]\ * &quot;-&quot;??_-;_-@_-"/>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66" formatCode="_-[$$-240A]\ * #,##0.00_-;\-[$$-240A]\ * #,##0.00_-;_-[$$-240A]\ * &quot;-&quot;??_-;_-@_-"/>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66" formatCode="_-[$$-240A]\ * #,##0.00_-;\-[$$-240A]\ * #,##0.00_-;_-[$$-240A]\ * &quot;-&quot;??_-;_-@_-"/>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66" formatCode="_-[$$-240A]\ * #,##0.00_-;\-[$$-240A]\ * #,##0.00_-;_-[$$-240A]\ * &quot;-&quot;??_-;_-@_-"/>
      <fill>
        <patternFill patternType="solid">
          <fgColor indexed="64"/>
          <bgColor theme="0"/>
        </patternFill>
      </fill>
      <border diagonalUp="0" diagonalDown="0" outline="0">
        <left/>
        <right style="thin">
          <color indexed="64"/>
        </right>
        <top style="thin">
          <color indexed="64"/>
        </top>
        <bottom style="thin">
          <color indexed="64"/>
        </bottom>
      </border>
    </dxf>
    <dxf>
      <numFmt numFmtId="166" formatCode="_-[$$-240A]\ * #,##0.00_-;\-[$$-240A]\ * #,##0.00_-;_-[$$-240A]\ * &quot;-&quot;??_-;_-@_-"/>
      <fill>
        <patternFill patternType="solid">
          <fgColor indexed="64"/>
          <bgColor theme="0"/>
        </patternFill>
      </fill>
      <border diagonalUp="0" diagonalDown="0" outline="0">
        <left style="thin">
          <color indexed="64"/>
        </left>
        <right/>
        <top style="thin">
          <color indexed="64"/>
        </top>
        <bottom/>
      </border>
    </dxf>
    <dxf>
      <numFmt numFmtId="168" formatCode="&quot;$&quot;\ #,##0.00"/>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numFmt numFmtId="1" formatCode="0"/>
      <fill>
        <patternFill patternType="solid">
          <fgColor indexed="64"/>
          <bgColor theme="0"/>
        </patternFill>
      </fill>
      <border diagonalUp="0" diagonalDown="0" outline="0">
        <left style="thin">
          <color indexed="64"/>
        </left>
        <right style="thin">
          <color indexed="64"/>
        </right>
        <top style="thin">
          <color indexed="64"/>
        </top>
        <bottom/>
      </border>
    </dxf>
    <dxf>
      <numFmt numFmtId="1" formatCode="0"/>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border diagonalUp="0" diagonalDown="0" outline="0">
        <left/>
        <right style="thin">
          <color indexed="64"/>
        </right>
        <top style="thin">
          <color indexed="64"/>
        </top>
        <bottom/>
      </border>
    </dxf>
    <dxf>
      <fill>
        <patternFill patternType="solid">
          <fgColor indexed="64"/>
          <bgColor theme="0"/>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dxf>
    <dxf>
      <border>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rgb="FF92D05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A1:P11" totalsRowCount="1" headerRowDxfId="36" dataDxfId="34" headerRowBorderDxfId="35" tableBorderDxfId="33" totalsRowBorderDxfId="32">
  <autoFilter ref="A1:P10" xr:uid="{00000000-0009-0000-0100-000001000000}"/>
  <tableColumns count="16">
    <tableColumn id="1" xr3:uid="{00000000-0010-0000-0000-000001000000}" name="Sector" totalsRowLabel="Total" dataDxfId="31" totalsRowDxfId="30"/>
    <tableColumn id="2" xr3:uid="{00000000-0010-0000-0000-000002000000}" name="BPIN" dataDxfId="29" totalsRowDxfId="28"/>
    <tableColumn id="3" xr3:uid="{00000000-0010-0000-0000-000003000000}" name="Programa/Proyecto" dataDxfId="27" totalsRowDxfId="26"/>
    <tableColumn id="4" xr3:uid="{00000000-0010-0000-0000-000004000000}" name="Valor" totalsRowFunction="sum" dataDxfId="25" totalsRowDxfId="24"/>
    <tableColumn id="5" xr3:uid="{00000000-0010-0000-0000-000005000000}" name="Ene" dataDxfId="23" totalsRowDxfId="22"/>
    <tableColumn id="6" xr3:uid="{00000000-0010-0000-0000-000006000000}" name="Feb" dataDxfId="21" totalsRowDxfId="20"/>
    <tableColumn id="7" xr3:uid="{00000000-0010-0000-0000-000007000000}" name="Mar" dataDxfId="19" totalsRowDxfId="18"/>
    <tableColumn id="8" xr3:uid="{00000000-0010-0000-0000-000008000000}" name="Abr" dataDxfId="17" totalsRowDxfId="16"/>
    <tableColumn id="9" xr3:uid="{00000000-0010-0000-0000-000009000000}" name="May" totalsRowFunction="sum" dataDxfId="15" totalsRowDxfId="14">
      <calculatedColumnFormula>D2</calculatedColumnFormula>
    </tableColumn>
    <tableColumn id="10" xr3:uid="{00000000-0010-0000-0000-00000A000000}" name="Jun" dataDxfId="13" totalsRowDxfId="12"/>
    <tableColumn id="11" xr3:uid="{00000000-0010-0000-0000-00000B000000}" name="Jul" dataDxfId="11" totalsRowDxfId="10"/>
    <tableColumn id="12" xr3:uid="{00000000-0010-0000-0000-00000C000000}" name="Ago" dataDxfId="9" totalsRowDxfId="8"/>
    <tableColumn id="13" xr3:uid="{00000000-0010-0000-0000-00000D000000}" name="Sep" dataDxfId="7" totalsRowDxfId="6"/>
    <tableColumn id="14" xr3:uid="{00000000-0010-0000-0000-00000E000000}" name="Oct" dataDxfId="5" totalsRowDxfId="4"/>
    <tableColumn id="15" xr3:uid="{00000000-0010-0000-0000-00000F000000}" name="Nov" dataDxfId="3" totalsRowDxfId="2"/>
    <tableColumn id="16" xr3:uid="{00000000-0010-0000-0000-000010000000}" name="Dic" dataDxfId="1" totalsRowDxfId="0"/>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BN269"/>
  <sheetViews>
    <sheetView view="pageBreakPreview" zoomScale="70" zoomScaleNormal="70" zoomScaleSheetLayoutView="70" workbookViewId="0">
      <pane xSplit="3" ySplit="4" topLeftCell="D252" activePane="bottomRight" state="frozen"/>
      <selection pane="topRight" activeCell="C1" sqref="C1"/>
      <selection pane="bottomLeft" activeCell="A5" sqref="A5"/>
      <selection pane="bottomRight" activeCell="J254" sqref="J254"/>
    </sheetView>
  </sheetViews>
  <sheetFormatPr baseColWidth="10" defaultColWidth="8.85546875" defaultRowHeight="12.75" x14ac:dyDescent="0.2"/>
  <cols>
    <col min="1" max="1" width="8.85546875" style="160"/>
    <col min="2" max="2" width="44.7109375" style="35" customWidth="1"/>
    <col min="3" max="3" width="51.28515625" style="183" customWidth="1"/>
    <col min="4" max="4" width="26.7109375" style="40" customWidth="1"/>
    <col min="5" max="5" width="10.7109375" style="40" bestFit="1" customWidth="1"/>
    <col min="6" max="6" width="11.28515625" style="40" bestFit="1" customWidth="1"/>
    <col min="7" max="7" width="9.140625" style="40" bestFit="1" customWidth="1"/>
    <col min="8" max="8" width="11.7109375" style="40" bestFit="1" customWidth="1"/>
    <col min="9" max="9" width="22.5703125" style="121" customWidth="1"/>
    <col min="10" max="10" width="23.7109375" style="40" customWidth="1"/>
    <col min="11" max="11" width="20.28515625" style="40" bestFit="1" customWidth="1"/>
    <col min="12" max="12" width="21.28515625" style="40" customWidth="1"/>
    <col min="13" max="13" width="23.5703125" style="40" customWidth="1"/>
    <col min="14" max="14" width="27.140625" style="40" customWidth="1"/>
    <col min="15" max="15" width="22.7109375" style="40" customWidth="1"/>
    <col min="16" max="16" width="21.140625" style="40" customWidth="1"/>
    <col min="17" max="17" width="21" style="40" customWidth="1"/>
    <col min="18" max="18" width="23.140625" style="40" customWidth="1"/>
    <col min="19" max="19" width="21.85546875" style="40" customWidth="1"/>
    <col min="20" max="20" width="23.42578125" style="40" customWidth="1"/>
    <col min="21" max="21" width="22.7109375" style="40" customWidth="1"/>
    <col min="22" max="22" width="26.42578125" style="40" customWidth="1"/>
    <col min="23" max="23" width="22.42578125" style="70" customWidth="1"/>
    <col min="24" max="24" width="19.42578125" style="28" customWidth="1"/>
    <col min="25" max="66" width="8.85546875" style="28" customWidth="1"/>
    <col min="67" max="16384" width="8.85546875" style="35"/>
  </cols>
  <sheetData>
    <row r="1" spans="1:66" s="10" customFormat="1" ht="22.5" x14ac:dyDescent="0.2">
      <c r="A1" s="153"/>
      <c r="C1" s="186" t="s">
        <v>202</v>
      </c>
      <c r="D1" s="186"/>
      <c r="E1" s="186"/>
      <c r="F1" s="186"/>
      <c r="G1" s="186"/>
      <c r="H1" s="100"/>
      <c r="I1" s="117"/>
      <c r="J1" s="100"/>
      <c r="K1" s="100"/>
      <c r="L1" s="100"/>
      <c r="M1" s="100"/>
      <c r="N1" s="100"/>
      <c r="O1" s="100"/>
      <c r="P1" s="100"/>
      <c r="Q1" s="100"/>
      <c r="R1" s="100"/>
      <c r="S1" s="100"/>
      <c r="T1" s="100"/>
      <c r="U1" s="100"/>
      <c r="V1" s="100"/>
      <c r="W1" s="66"/>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row>
    <row r="2" spans="1:66" s="10" customFormat="1" ht="22.5" x14ac:dyDescent="0.2">
      <c r="A2" s="153"/>
      <c r="C2" s="187" t="s">
        <v>43</v>
      </c>
      <c r="D2" s="187"/>
      <c r="E2" s="187"/>
      <c r="F2" s="187"/>
      <c r="G2" s="187"/>
      <c r="H2" s="187"/>
      <c r="I2" s="187"/>
      <c r="J2" s="100"/>
      <c r="K2" s="100"/>
      <c r="L2" s="100"/>
      <c r="M2" s="100"/>
      <c r="N2" s="100"/>
      <c r="O2" s="100"/>
      <c r="P2" s="100"/>
      <c r="Q2" s="100"/>
      <c r="R2" s="100"/>
      <c r="S2" s="100"/>
      <c r="T2" s="100"/>
      <c r="U2" s="100"/>
      <c r="V2" s="100"/>
      <c r="W2" s="66"/>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row>
    <row r="3" spans="1:66" s="10" customFormat="1" x14ac:dyDescent="0.2">
      <c r="A3" s="153"/>
      <c r="C3" s="167"/>
      <c r="D3" s="100"/>
      <c r="E3" s="100"/>
      <c r="F3" s="100"/>
      <c r="G3" s="100"/>
      <c r="H3" s="100"/>
      <c r="I3" s="117"/>
      <c r="J3" s="100"/>
      <c r="K3" s="100"/>
      <c r="L3" s="100"/>
      <c r="M3" s="100"/>
      <c r="N3" s="100"/>
      <c r="O3" s="100"/>
      <c r="P3" s="100"/>
      <c r="Q3" s="100"/>
      <c r="R3" s="100"/>
      <c r="S3" s="100"/>
      <c r="T3" s="100"/>
      <c r="U3" s="100"/>
      <c r="V3" s="100"/>
      <c r="W3" s="66"/>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row>
    <row r="4" spans="1:66" s="1" customFormat="1" ht="76.5" customHeight="1" x14ac:dyDescent="0.2">
      <c r="A4" s="154"/>
      <c r="B4" s="3"/>
      <c r="C4" s="168" t="s">
        <v>37</v>
      </c>
      <c r="D4" s="101" t="s">
        <v>21</v>
      </c>
      <c r="E4" s="101" t="s">
        <v>22</v>
      </c>
      <c r="F4" s="101" t="s">
        <v>23</v>
      </c>
      <c r="G4" s="101" t="s">
        <v>40</v>
      </c>
      <c r="H4" s="101" t="s">
        <v>41</v>
      </c>
      <c r="I4" s="101" t="s">
        <v>24</v>
      </c>
      <c r="J4" s="101" t="s">
        <v>25</v>
      </c>
      <c r="K4" s="101" t="s">
        <v>26</v>
      </c>
      <c r="L4" s="101" t="s">
        <v>0</v>
      </c>
      <c r="M4" s="101" t="s">
        <v>27</v>
      </c>
      <c r="N4" s="101" t="s">
        <v>3</v>
      </c>
      <c r="O4" s="101" t="s">
        <v>1</v>
      </c>
      <c r="P4" s="101" t="s">
        <v>28</v>
      </c>
      <c r="Q4" s="101" t="s">
        <v>4</v>
      </c>
      <c r="R4" s="101" t="s">
        <v>29</v>
      </c>
      <c r="S4" s="101" t="s">
        <v>2</v>
      </c>
      <c r="T4" s="101" t="s">
        <v>30</v>
      </c>
      <c r="U4" s="101" t="s">
        <v>31</v>
      </c>
      <c r="V4" s="101" t="s">
        <v>32</v>
      </c>
      <c r="W4" s="67"/>
    </row>
    <row r="5" spans="1:66" s="11" customFormat="1" x14ac:dyDescent="0.2">
      <c r="A5" s="155"/>
      <c r="B5" s="13">
        <v>1</v>
      </c>
      <c r="C5" s="169" t="s">
        <v>5</v>
      </c>
      <c r="D5" s="102">
        <f>SUM(D6:D8)</f>
        <v>90641722287.639999</v>
      </c>
      <c r="E5" s="102">
        <f>SUM(E6:E8)</f>
        <v>0</v>
      </c>
      <c r="F5" s="102">
        <f>SUM(F6:F8)</f>
        <v>0</v>
      </c>
      <c r="G5" s="102">
        <v>0</v>
      </c>
      <c r="H5" s="102">
        <v>0</v>
      </c>
      <c r="I5" s="111">
        <f>+D5+E5-F5+G5-H5</f>
        <v>90641722287.639999</v>
      </c>
      <c r="J5" s="102">
        <f>SUM(J6:J8)</f>
        <v>0</v>
      </c>
      <c r="K5" s="102">
        <f t="shared" ref="K5:U5" si="0">SUM(K6:K8)</f>
        <v>0</v>
      </c>
      <c r="L5" s="102">
        <f t="shared" si="0"/>
        <v>0</v>
      </c>
      <c r="M5" s="102">
        <f t="shared" si="0"/>
        <v>0</v>
      </c>
      <c r="N5" s="102">
        <f t="shared" si="0"/>
        <v>0</v>
      </c>
      <c r="O5" s="102">
        <f t="shared" si="0"/>
        <v>0</v>
      </c>
      <c r="P5" s="102">
        <f t="shared" si="0"/>
        <v>0</v>
      </c>
      <c r="Q5" s="102">
        <f t="shared" si="0"/>
        <v>0</v>
      </c>
      <c r="R5" s="102">
        <f t="shared" si="0"/>
        <v>0</v>
      </c>
      <c r="S5" s="102">
        <f t="shared" si="0"/>
        <v>0</v>
      </c>
      <c r="T5" s="102">
        <f t="shared" si="0"/>
        <v>0</v>
      </c>
      <c r="U5" s="102">
        <f t="shared" si="0"/>
        <v>0</v>
      </c>
      <c r="V5" s="102">
        <f t="shared" ref="V5:V11" si="1">SUM(J5:U5)</f>
        <v>0</v>
      </c>
      <c r="W5" s="68"/>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row>
    <row r="6" spans="1:66" s="18" customFormat="1" x14ac:dyDescent="0.2">
      <c r="A6" s="153"/>
      <c r="B6" s="16"/>
      <c r="C6" s="170" t="s">
        <v>6</v>
      </c>
      <c r="D6" s="103">
        <v>0</v>
      </c>
      <c r="E6" s="103">
        <v>0</v>
      </c>
      <c r="F6" s="103">
        <v>0</v>
      </c>
      <c r="G6" s="103">
        <v>0</v>
      </c>
      <c r="H6" s="103">
        <v>0</v>
      </c>
      <c r="I6" s="111">
        <f>D6+E6-F6+G6-H6</f>
        <v>0</v>
      </c>
      <c r="J6" s="103">
        <v>0</v>
      </c>
      <c r="K6" s="103">
        <v>0</v>
      </c>
      <c r="L6" s="103">
        <v>0</v>
      </c>
      <c r="M6" s="103">
        <v>0</v>
      </c>
      <c r="N6" s="103">
        <v>0</v>
      </c>
      <c r="O6" s="103">
        <v>0</v>
      </c>
      <c r="P6" s="103">
        <v>0</v>
      </c>
      <c r="Q6" s="103">
        <v>0</v>
      </c>
      <c r="R6" s="103">
        <v>0</v>
      </c>
      <c r="S6" s="103">
        <v>0</v>
      </c>
      <c r="T6" s="103">
        <v>0</v>
      </c>
      <c r="U6" s="103">
        <v>0</v>
      </c>
      <c r="V6" s="102">
        <f t="shared" si="1"/>
        <v>0</v>
      </c>
      <c r="W6" s="69"/>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row>
    <row r="7" spans="1:66" s="18" customFormat="1" x14ac:dyDescent="0.2">
      <c r="A7" s="153"/>
      <c r="B7" s="16"/>
      <c r="C7" s="170" t="s">
        <v>7</v>
      </c>
      <c r="D7" s="103">
        <f>90401548443.91+240173843.73</f>
        <v>90641722287.639999</v>
      </c>
      <c r="E7" s="103">
        <v>0</v>
      </c>
      <c r="F7" s="103">
        <v>0</v>
      </c>
      <c r="G7" s="103">
        <v>0</v>
      </c>
      <c r="H7" s="103">
        <v>0</v>
      </c>
      <c r="I7" s="166">
        <f>D7+E7-F7+G7-H7</f>
        <v>90641722287.639999</v>
      </c>
      <c r="J7" s="103">
        <v>0</v>
      </c>
      <c r="K7" s="103">
        <v>0</v>
      </c>
      <c r="L7" s="103">
        <v>0</v>
      </c>
      <c r="M7" s="103">
        <v>0</v>
      </c>
      <c r="N7" s="103">
        <v>0</v>
      </c>
      <c r="O7" s="103">
        <v>0</v>
      </c>
      <c r="P7" s="103">
        <v>0</v>
      </c>
      <c r="Q7" s="103">
        <v>0</v>
      </c>
      <c r="R7" s="103">
        <v>0</v>
      </c>
      <c r="S7" s="103">
        <v>0</v>
      </c>
      <c r="T7" s="103">
        <v>0</v>
      </c>
      <c r="U7" s="103">
        <v>0</v>
      </c>
      <c r="V7" s="102">
        <f t="shared" si="1"/>
        <v>0</v>
      </c>
      <c r="W7" s="69"/>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row>
    <row r="8" spans="1:66" s="10" customFormat="1" x14ac:dyDescent="0.2">
      <c r="A8" s="153"/>
      <c r="B8" s="19"/>
      <c r="C8" s="171" t="s">
        <v>42</v>
      </c>
      <c r="D8" s="104">
        <v>0</v>
      </c>
      <c r="E8" s="104">
        <v>0</v>
      </c>
      <c r="F8" s="104">
        <v>0</v>
      </c>
      <c r="G8" s="104">
        <v>0</v>
      </c>
      <c r="H8" s="104">
        <v>0</v>
      </c>
      <c r="I8" s="111">
        <f>+D8+E8-F8+G8-H8</f>
        <v>0</v>
      </c>
      <c r="J8" s="104">
        <v>0</v>
      </c>
      <c r="K8" s="104">
        <v>0</v>
      </c>
      <c r="L8" s="104">
        <v>0</v>
      </c>
      <c r="M8" s="104">
        <v>0</v>
      </c>
      <c r="N8" s="104">
        <v>0</v>
      </c>
      <c r="O8" s="104">
        <v>0</v>
      </c>
      <c r="P8" s="104">
        <v>0</v>
      </c>
      <c r="Q8" s="104">
        <v>0</v>
      </c>
      <c r="R8" s="104">
        <v>0</v>
      </c>
      <c r="S8" s="104">
        <v>0</v>
      </c>
      <c r="T8" s="104">
        <v>0</v>
      </c>
      <c r="U8" s="104">
        <v>0</v>
      </c>
      <c r="V8" s="102">
        <f t="shared" si="1"/>
        <v>0</v>
      </c>
      <c r="W8" s="66"/>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row>
    <row r="9" spans="1:66" s="11" customFormat="1" x14ac:dyDescent="0.2">
      <c r="A9" s="155"/>
      <c r="B9" s="13">
        <v>2</v>
      </c>
      <c r="C9" s="169" t="s">
        <v>8</v>
      </c>
      <c r="D9" s="102">
        <f>D10</f>
        <v>101909465820.87</v>
      </c>
      <c r="E9" s="102">
        <f>E10</f>
        <v>0</v>
      </c>
      <c r="F9" s="102">
        <f>F10</f>
        <v>0</v>
      </c>
      <c r="G9" s="102">
        <f>G10</f>
        <v>0</v>
      </c>
      <c r="H9" s="102">
        <f>H10</f>
        <v>0</v>
      </c>
      <c r="I9" s="102">
        <f>D9+E9-F9+G9-H9</f>
        <v>101909465820.87</v>
      </c>
      <c r="J9" s="102">
        <f>J10</f>
        <v>2484397757.2505584</v>
      </c>
      <c r="K9" s="102">
        <f>K10</f>
        <v>6939722005.7090311</v>
      </c>
      <c r="L9" s="102">
        <f>L10</f>
        <v>8991022841.4161873</v>
      </c>
      <c r="M9" s="102">
        <f t="shared" ref="M9:U9" si="2">M10</f>
        <v>6509311173.0765715</v>
      </c>
      <c r="N9" s="102">
        <f t="shared" si="2"/>
        <v>30091478429.690281</v>
      </c>
      <c r="O9" s="102">
        <f t="shared" si="2"/>
        <v>9078303616.1280861</v>
      </c>
      <c r="P9" s="102">
        <f t="shared" si="2"/>
        <v>5942476066.6818867</v>
      </c>
      <c r="Q9" s="102">
        <f t="shared" si="2"/>
        <v>5252933817.3854332</v>
      </c>
      <c r="R9" s="102">
        <f t="shared" si="2"/>
        <v>7084908549.0620251</v>
      </c>
      <c r="S9" s="102">
        <f t="shared" si="2"/>
        <v>6607246591.1857166</v>
      </c>
      <c r="T9" s="102">
        <f t="shared" si="2"/>
        <v>5671053655.2991924</v>
      </c>
      <c r="U9" s="102">
        <f t="shared" si="2"/>
        <v>7256611317.9912567</v>
      </c>
      <c r="V9" s="102">
        <f t="shared" si="1"/>
        <v>101909465820.87624</v>
      </c>
      <c r="W9" s="64"/>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row>
    <row r="10" spans="1:66" s="15" customFormat="1" x14ac:dyDescent="0.2">
      <c r="A10" s="2"/>
      <c r="B10" s="4"/>
      <c r="C10" s="172" t="s">
        <v>9</v>
      </c>
      <c r="D10" s="105">
        <f>D11</f>
        <v>101909465820.87</v>
      </c>
      <c r="E10" s="106">
        <v>0</v>
      </c>
      <c r="F10" s="106">
        <v>0</v>
      </c>
      <c r="G10" s="106">
        <v>0</v>
      </c>
      <c r="H10" s="106">
        <v>0</v>
      </c>
      <c r="I10" s="102">
        <f>D10+E10-F10+G10-H10</f>
        <v>101909465820.87</v>
      </c>
      <c r="J10" s="105">
        <f>J11</f>
        <v>2484397757.2505584</v>
      </c>
      <c r="K10" s="105">
        <f t="shared" ref="K10:U10" si="3">K11</f>
        <v>6939722005.7090311</v>
      </c>
      <c r="L10" s="105">
        <f t="shared" si="3"/>
        <v>8991022841.4161873</v>
      </c>
      <c r="M10" s="105">
        <f t="shared" si="3"/>
        <v>6509311173.0765715</v>
      </c>
      <c r="N10" s="105">
        <f t="shared" si="3"/>
        <v>30091478429.690281</v>
      </c>
      <c r="O10" s="105">
        <f t="shared" si="3"/>
        <v>9078303616.1280861</v>
      </c>
      <c r="P10" s="105">
        <f t="shared" si="3"/>
        <v>5942476066.6818867</v>
      </c>
      <c r="Q10" s="105">
        <f t="shared" si="3"/>
        <v>5252933817.3854332</v>
      </c>
      <c r="R10" s="105">
        <f t="shared" si="3"/>
        <v>7084908549.0620251</v>
      </c>
      <c r="S10" s="105">
        <f t="shared" si="3"/>
        <v>6607246591.1857166</v>
      </c>
      <c r="T10" s="105">
        <f t="shared" si="3"/>
        <v>5671053655.2991924</v>
      </c>
      <c r="U10" s="105">
        <f t="shared" si="3"/>
        <v>7256611317.9912567</v>
      </c>
      <c r="V10" s="102">
        <f t="shared" si="1"/>
        <v>101909465820.87624</v>
      </c>
      <c r="W10" s="64"/>
    </row>
    <row r="11" spans="1:66" s="15" customFormat="1" x14ac:dyDescent="0.2">
      <c r="A11" s="2"/>
      <c r="B11" s="4" t="s">
        <v>47</v>
      </c>
      <c r="C11" s="172" t="s">
        <v>48</v>
      </c>
      <c r="D11" s="105">
        <f>D12</f>
        <v>101909465820.87</v>
      </c>
      <c r="E11" s="106">
        <v>0</v>
      </c>
      <c r="F11" s="106">
        <v>0</v>
      </c>
      <c r="G11" s="106">
        <v>0</v>
      </c>
      <c r="H11" s="106">
        <v>0</v>
      </c>
      <c r="I11" s="102">
        <f>D11+E11-F11+G11-H11</f>
        <v>101909465820.87</v>
      </c>
      <c r="J11" s="105">
        <f>J12</f>
        <v>2484397757.2505584</v>
      </c>
      <c r="K11" s="105">
        <f t="shared" ref="K11:U11" si="4">K12</f>
        <v>6939722005.7090311</v>
      </c>
      <c r="L11" s="105">
        <f t="shared" si="4"/>
        <v>8991022841.4161873</v>
      </c>
      <c r="M11" s="105">
        <f t="shared" si="4"/>
        <v>6509311173.0765715</v>
      </c>
      <c r="N11" s="105">
        <f t="shared" si="4"/>
        <v>30091478429.690281</v>
      </c>
      <c r="O11" s="105">
        <f t="shared" si="4"/>
        <v>9078303616.1280861</v>
      </c>
      <c r="P11" s="105">
        <f t="shared" si="4"/>
        <v>5942476066.6818867</v>
      </c>
      <c r="Q11" s="105">
        <f t="shared" si="4"/>
        <v>5252933817.3854332</v>
      </c>
      <c r="R11" s="105">
        <f t="shared" si="4"/>
        <v>7084908549.0620251</v>
      </c>
      <c r="S11" s="105">
        <f t="shared" si="4"/>
        <v>6607246591.1857166</v>
      </c>
      <c r="T11" s="105">
        <f t="shared" si="4"/>
        <v>5671053655.2991924</v>
      </c>
      <c r="U11" s="105">
        <f t="shared" si="4"/>
        <v>7256611317.9912567</v>
      </c>
      <c r="V11" s="102">
        <f t="shared" si="1"/>
        <v>101909465820.87624</v>
      </c>
      <c r="W11" s="64"/>
    </row>
    <row r="12" spans="1:66" s="15" customFormat="1" x14ac:dyDescent="0.2">
      <c r="A12" s="2"/>
      <c r="B12" s="4" t="s">
        <v>49</v>
      </c>
      <c r="C12" s="172" t="s">
        <v>50</v>
      </c>
      <c r="D12" s="105">
        <f>D13+D14+D15+D16+D17+D18+D19+D20+D21+D22</f>
        <v>101909465820.87</v>
      </c>
      <c r="E12" s="106">
        <v>0</v>
      </c>
      <c r="F12" s="106">
        <v>0</v>
      </c>
      <c r="G12" s="106">
        <v>0</v>
      </c>
      <c r="H12" s="106">
        <v>0</v>
      </c>
      <c r="I12" s="102">
        <f>D12+E12-F12+G12-H12</f>
        <v>101909465820.87</v>
      </c>
      <c r="J12" s="105">
        <f>J13+J14+J15+J16+J17+J18+J19+J20+J21+J22</f>
        <v>2484397757.2505584</v>
      </c>
      <c r="K12" s="105">
        <f t="shared" ref="K12:U12" si="5">K13+K14+K15+K16+K17+K18+K19+K20+K21+K22</f>
        <v>6939722005.7090311</v>
      </c>
      <c r="L12" s="105">
        <f t="shared" si="5"/>
        <v>8991022841.4161873</v>
      </c>
      <c r="M12" s="105">
        <f t="shared" si="5"/>
        <v>6509311173.0765715</v>
      </c>
      <c r="N12" s="105">
        <f t="shared" si="5"/>
        <v>30091478429.690281</v>
      </c>
      <c r="O12" s="105">
        <f t="shared" si="5"/>
        <v>9078303616.1280861</v>
      </c>
      <c r="P12" s="105">
        <f t="shared" si="5"/>
        <v>5942476066.6818867</v>
      </c>
      <c r="Q12" s="105">
        <f t="shared" si="5"/>
        <v>5252933817.3854332</v>
      </c>
      <c r="R12" s="105">
        <f t="shared" si="5"/>
        <v>7084908549.0620251</v>
      </c>
      <c r="S12" s="105">
        <f t="shared" si="5"/>
        <v>6607246591.1857166</v>
      </c>
      <c r="T12" s="105">
        <f t="shared" si="5"/>
        <v>5671053655.2991924</v>
      </c>
      <c r="U12" s="105">
        <f t="shared" si="5"/>
        <v>7256611317.9912567</v>
      </c>
      <c r="V12" s="102">
        <f>SUM(J12:U12)</f>
        <v>101909465820.87624</v>
      </c>
      <c r="W12" s="64"/>
    </row>
    <row r="13" spans="1:66" s="12" customFormat="1" x14ac:dyDescent="0.2">
      <c r="A13" s="154"/>
      <c r="B13" s="20" t="s">
        <v>128</v>
      </c>
      <c r="C13" s="173" t="s">
        <v>15</v>
      </c>
      <c r="D13" s="106">
        <v>1545629792.9000001</v>
      </c>
      <c r="E13" s="106">
        <v>0</v>
      </c>
      <c r="F13" s="106">
        <v>0</v>
      </c>
      <c r="G13" s="106">
        <v>0</v>
      </c>
      <c r="H13" s="106">
        <v>0</v>
      </c>
      <c r="I13" s="80">
        <f>D13+E13-F13+G13-H13</f>
        <v>1545629792.9000001</v>
      </c>
      <c r="J13" s="104">
        <f>J52+J53+J56+J60+J62+J66+J69</f>
        <v>0</v>
      </c>
      <c r="K13" s="104">
        <f t="shared" ref="K13:U13" si="6">K52+K53+K56+K60+K62+K66+K69</f>
        <v>0</v>
      </c>
      <c r="L13" s="104">
        <f>L52+L53+L56+L60+L62+L66+L69</f>
        <v>49562979.299999997</v>
      </c>
      <c r="M13" s="104">
        <f>M52+M53+M60+M62+M66+M69</f>
        <v>29562979.300000001</v>
      </c>
      <c r="N13" s="104">
        <f t="shared" si="6"/>
        <v>79562979.299999997</v>
      </c>
      <c r="O13" s="104">
        <f>O52+O53+O56+O60+O62+O66+O69</f>
        <v>49562979.299999997</v>
      </c>
      <c r="P13" s="104">
        <f>P52+P53+P56+P60+P62+P66+P69</f>
        <v>49562979.299999997</v>
      </c>
      <c r="Q13" s="104">
        <f>Q52+Q53+Q56+Q60+Q62+Q66+Q69</f>
        <v>79562979.299999997</v>
      </c>
      <c r="R13" s="104">
        <f>R52+R53+R56+R60+R62+R66+R69</f>
        <v>949562979.29999995</v>
      </c>
      <c r="S13" s="104">
        <f t="shared" si="6"/>
        <v>49562979.299999997</v>
      </c>
      <c r="T13" s="104">
        <f t="shared" si="6"/>
        <v>29562979.300000001</v>
      </c>
      <c r="U13" s="104">
        <f t="shared" si="6"/>
        <v>179562979.19999999</v>
      </c>
      <c r="V13" s="131">
        <f t="shared" ref="V13:V22" si="7">J13+K13+L13+M13+N13+O13+P13+Q13+R13+S13+T13+U13</f>
        <v>1545629792.8999999</v>
      </c>
      <c r="W13" s="64"/>
    </row>
    <row r="14" spans="1:66" s="12" customFormat="1" x14ac:dyDescent="0.2">
      <c r="A14" s="154"/>
      <c r="B14" s="20" t="s">
        <v>129</v>
      </c>
      <c r="C14" s="173" t="s">
        <v>15</v>
      </c>
      <c r="D14" s="106">
        <v>10223000000</v>
      </c>
      <c r="E14" s="106">
        <v>0</v>
      </c>
      <c r="F14" s="106">
        <v>0</v>
      </c>
      <c r="G14" s="106">
        <v>0</v>
      </c>
      <c r="H14" s="106">
        <v>0</v>
      </c>
      <c r="I14" s="80">
        <f t="shared" ref="I14:I22" si="8">D14+E14-F14+G14-H14</f>
        <v>10223000000</v>
      </c>
      <c r="J14" s="106">
        <f>J32+J33+J34+J35+J36+J37+J39+J40+J41+J42+J43+J44+J45+J47+J48+J51+J55+J58+J59+J61+J63+J64+J68+J70</f>
        <v>638982873.37018538</v>
      </c>
      <c r="K14" s="106">
        <f t="shared" ref="K14:U14" si="9">K32+K33+K34+K35+K36+K37+K39+K40+K41+K42+K43+K44+K45+K47+K48+K51+K55+K58+K59+K61+K63+K64+K68+K70</f>
        <v>821745055.19018531</v>
      </c>
      <c r="L14" s="106">
        <f t="shared" si="9"/>
        <v>1024000894.1901853</v>
      </c>
      <c r="M14" s="106">
        <f>M32+M33+M34+M35+M36+M37+M39+M40+M41+M42+M43+M44+M45+M47+M48+M51+M55+M56+M58+M59+M61+M63+M64+M68+M70</f>
        <v>802480894.19018531</v>
      </c>
      <c r="N14" s="106">
        <f t="shared" si="9"/>
        <v>881960894.19018531</v>
      </c>
      <c r="O14" s="106">
        <f t="shared" si="9"/>
        <v>979827782.19018519</v>
      </c>
      <c r="P14" s="106">
        <f t="shared" si="9"/>
        <v>777480894.19018531</v>
      </c>
      <c r="Q14" s="106">
        <f t="shared" si="9"/>
        <v>767480894.19018531</v>
      </c>
      <c r="R14" s="106">
        <f t="shared" si="9"/>
        <v>782480894.19018531</v>
      </c>
      <c r="S14" s="106">
        <f t="shared" si="9"/>
        <v>767480894.19018531</v>
      </c>
      <c r="T14" s="106">
        <f t="shared" si="9"/>
        <v>777480894.19018531</v>
      </c>
      <c r="U14" s="106">
        <f t="shared" si="9"/>
        <v>1201597135.7301853</v>
      </c>
      <c r="V14" s="131">
        <f t="shared" si="7"/>
        <v>10223000000.002224</v>
      </c>
      <c r="W14" s="64"/>
    </row>
    <row r="15" spans="1:66" s="12" customFormat="1" x14ac:dyDescent="0.2">
      <c r="A15" s="154"/>
      <c r="B15" s="20" t="s">
        <v>157</v>
      </c>
      <c r="C15" s="173" t="s">
        <v>106</v>
      </c>
      <c r="D15" s="107">
        <v>6123229897.9700003</v>
      </c>
      <c r="E15" s="106">
        <v>0</v>
      </c>
      <c r="F15" s="106">
        <v>0</v>
      </c>
      <c r="G15" s="106">
        <v>0</v>
      </c>
      <c r="H15" s="106">
        <v>0</v>
      </c>
      <c r="I15" s="80">
        <f t="shared" si="8"/>
        <v>6123229897.9700003</v>
      </c>
      <c r="J15" s="106">
        <f>J92+J93+J95+J96</f>
        <v>0</v>
      </c>
      <c r="K15" s="106">
        <f>K92+K93+K95+K96</f>
        <v>0</v>
      </c>
      <c r="L15" s="106">
        <f t="shared" ref="L15:U15" si="10">L92+L93+L95+L96</f>
        <v>2449291959.1880002</v>
      </c>
      <c r="M15" s="106">
        <f t="shared" si="10"/>
        <v>0</v>
      </c>
      <c r="N15" s="106">
        <f t="shared" si="10"/>
        <v>2449291959.1880002</v>
      </c>
      <c r="O15" s="106">
        <f t="shared" si="10"/>
        <v>1224645979.5940001</v>
      </c>
      <c r="P15" s="106">
        <f t="shared" si="10"/>
        <v>0</v>
      </c>
      <c r="Q15" s="106">
        <f t="shared" si="10"/>
        <v>0</v>
      </c>
      <c r="R15" s="106">
        <f t="shared" si="10"/>
        <v>0</v>
      </c>
      <c r="S15" s="106">
        <f t="shared" si="10"/>
        <v>0</v>
      </c>
      <c r="T15" s="106">
        <f t="shared" si="10"/>
        <v>0</v>
      </c>
      <c r="U15" s="106">
        <f t="shared" si="10"/>
        <v>0</v>
      </c>
      <c r="V15" s="131">
        <f t="shared" si="7"/>
        <v>6123229897.9700003</v>
      </c>
      <c r="W15" s="64"/>
    </row>
    <row r="16" spans="1:66" s="12" customFormat="1" x14ac:dyDescent="0.2">
      <c r="A16" s="154"/>
      <c r="B16" s="94" t="s">
        <v>130</v>
      </c>
      <c r="C16" s="173" t="s">
        <v>106</v>
      </c>
      <c r="D16" s="108">
        <v>8248505682.5700006</v>
      </c>
      <c r="E16" s="106">
        <v>0</v>
      </c>
      <c r="F16" s="106">
        <v>0</v>
      </c>
      <c r="G16" s="106">
        <v>0</v>
      </c>
      <c r="H16" s="106">
        <v>0</v>
      </c>
      <c r="I16" s="80">
        <f t="shared" si="8"/>
        <v>8248505682.5700006</v>
      </c>
      <c r="J16" s="106">
        <f>J77+J78+J80+J86+J89</f>
        <v>0</v>
      </c>
      <c r="K16" s="106">
        <f>K77+K78+K80+K82+K83+K85+K86+K88+K89</f>
        <v>2700000000</v>
      </c>
      <c r="L16" s="106">
        <f t="shared" ref="L16:U16" si="11">L77+L78+L80+L82+L83+L85+L86+L88+L89</f>
        <v>1299999999.9980001</v>
      </c>
      <c r="M16" s="106">
        <f t="shared" si="11"/>
        <v>1300000000</v>
      </c>
      <c r="N16" s="106">
        <f t="shared" si="11"/>
        <v>1299999999.9960001</v>
      </c>
      <c r="O16" s="106">
        <f t="shared" si="11"/>
        <v>226700283.06400001</v>
      </c>
      <c r="P16" s="106">
        <f t="shared" si="11"/>
        <v>469424447.13200003</v>
      </c>
      <c r="Q16" s="106">
        <f t="shared" si="11"/>
        <v>207142857.13999999</v>
      </c>
      <c r="R16" s="106">
        <f t="shared" si="11"/>
        <v>169047619.05000001</v>
      </c>
      <c r="S16" s="106">
        <f t="shared" si="11"/>
        <v>576190476.19400001</v>
      </c>
      <c r="T16" s="106">
        <f t="shared" si="11"/>
        <v>0</v>
      </c>
      <c r="U16" s="106">
        <f t="shared" si="11"/>
        <v>0</v>
      </c>
      <c r="V16" s="106">
        <f t="shared" si="7"/>
        <v>8248505682.5740013</v>
      </c>
      <c r="W16" s="64"/>
    </row>
    <row r="17" spans="1:66" s="12" customFormat="1" x14ac:dyDescent="0.2">
      <c r="A17" s="154"/>
      <c r="B17" s="94" t="s">
        <v>131</v>
      </c>
      <c r="C17" s="173" t="s">
        <v>106</v>
      </c>
      <c r="D17" s="108">
        <v>3886862565</v>
      </c>
      <c r="E17" s="106">
        <v>0</v>
      </c>
      <c r="F17" s="106">
        <v>0</v>
      </c>
      <c r="G17" s="106">
        <v>0</v>
      </c>
      <c r="H17" s="106">
        <v>0</v>
      </c>
      <c r="I17" s="80">
        <f t="shared" si="8"/>
        <v>3886862565</v>
      </c>
      <c r="J17" s="106">
        <f>J108+J109</f>
        <v>0</v>
      </c>
      <c r="K17" s="106">
        <f t="shared" ref="K17:U17" si="12">K108+K109</f>
        <v>0</v>
      </c>
      <c r="L17" s="106">
        <f t="shared" si="12"/>
        <v>0</v>
      </c>
      <c r="M17" s="106">
        <f t="shared" si="12"/>
        <v>0</v>
      </c>
      <c r="N17" s="106">
        <f t="shared" si="12"/>
        <v>0</v>
      </c>
      <c r="O17" s="106">
        <f t="shared" si="12"/>
        <v>2332117539</v>
      </c>
      <c r="P17" s="106">
        <f t="shared" si="12"/>
        <v>0</v>
      </c>
      <c r="Q17" s="106">
        <f t="shared" si="12"/>
        <v>0</v>
      </c>
      <c r="R17" s="106">
        <f t="shared" si="12"/>
        <v>0</v>
      </c>
      <c r="S17" s="106">
        <f t="shared" si="12"/>
        <v>0</v>
      </c>
      <c r="T17" s="106">
        <f t="shared" si="12"/>
        <v>0</v>
      </c>
      <c r="U17" s="106">
        <f t="shared" si="12"/>
        <v>1554745026</v>
      </c>
      <c r="V17" s="106">
        <f t="shared" si="7"/>
        <v>3886862565</v>
      </c>
      <c r="W17" s="64"/>
    </row>
    <row r="18" spans="1:66" s="12" customFormat="1" x14ac:dyDescent="0.2">
      <c r="A18" s="154"/>
      <c r="B18" s="140" t="s">
        <v>132</v>
      </c>
      <c r="C18" s="173" t="s">
        <v>106</v>
      </c>
      <c r="D18" s="107">
        <v>1500000000</v>
      </c>
      <c r="E18" s="106">
        <v>0</v>
      </c>
      <c r="F18" s="106">
        <v>0</v>
      </c>
      <c r="G18" s="106">
        <v>0</v>
      </c>
      <c r="H18" s="106">
        <v>0</v>
      </c>
      <c r="I18" s="80">
        <f t="shared" si="8"/>
        <v>1500000000</v>
      </c>
      <c r="J18" s="106">
        <f>J99+J100</f>
        <v>0</v>
      </c>
      <c r="K18" s="106">
        <f>K112</f>
        <v>250000000</v>
      </c>
      <c r="L18" s="106">
        <f t="shared" ref="L18:U18" si="13">L112</f>
        <v>250000000</v>
      </c>
      <c r="M18" s="106">
        <f t="shared" si="13"/>
        <v>250000000</v>
      </c>
      <c r="N18" s="106">
        <f t="shared" si="13"/>
        <v>250000000</v>
      </c>
      <c r="O18" s="106">
        <f t="shared" si="13"/>
        <v>250000000</v>
      </c>
      <c r="P18" s="106">
        <f t="shared" si="13"/>
        <v>250000000</v>
      </c>
      <c r="Q18" s="106">
        <f t="shared" si="13"/>
        <v>0</v>
      </c>
      <c r="R18" s="106">
        <f t="shared" si="13"/>
        <v>0</v>
      </c>
      <c r="S18" s="106">
        <f t="shared" si="13"/>
        <v>0</v>
      </c>
      <c r="T18" s="106">
        <f t="shared" si="13"/>
        <v>0</v>
      </c>
      <c r="U18" s="106">
        <f t="shared" si="13"/>
        <v>0</v>
      </c>
      <c r="V18" s="106">
        <f t="shared" si="7"/>
        <v>1500000000</v>
      </c>
      <c r="W18" s="64"/>
    </row>
    <row r="19" spans="1:66" s="12" customFormat="1" x14ac:dyDescent="0.2">
      <c r="A19" s="154"/>
      <c r="B19" s="142" t="s">
        <v>133</v>
      </c>
      <c r="C19" s="173" t="s">
        <v>106</v>
      </c>
      <c r="D19" s="143">
        <v>16356154691.43</v>
      </c>
      <c r="E19" s="106">
        <v>0</v>
      </c>
      <c r="F19" s="106">
        <v>0</v>
      </c>
      <c r="G19" s="106">
        <v>0</v>
      </c>
      <c r="H19" s="106">
        <v>0</v>
      </c>
      <c r="I19" s="144">
        <f>D19+E19-F19+G19-H19</f>
        <v>16356154691.43</v>
      </c>
      <c r="J19" s="145">
        <f>J99+J100</f>
        <v>0</v>
      </c>
      <c r="K19" s="145">
        <f t="shared" ref="K19:U19" si="14">K99+K100</f>
        <v>1300000000</v>
      </c>
      <c r="L19" s="145">
        <f t="shared" si="14"/>
        <v>1300000000</v>
      </c>
      <c r="M19" s="145">
        <f t="shared" si="14"/>
        <v>1300000000</v>
      </c>
      <c r="N19" s="145">
        <f t="shared" si="14"/>
        <v>1300000000</v>
      </c>
      <c r="O19" s="145">
        <f t="shared" si="14"/>
        <v>1300000000</v>
      </c>
      <c r="P19" s="145">
        <f t="shared" si="14"/>
        <v>1266666666.6700001</v>
      </c>
      <c r="Q19" s="145">
        <f t="shared" si="14"/>
        <v>1266666666.6700001</v>
      </c>
      <c r="R19" s="145">
        <f t="shared" si="14"/>
        <v>2018718230.6700001</v>
      </c>
      <c r="S19" s="145">
        <f t="shared" si="14"/>
        <v>2018718230.6700001</v>
      </c>
      <c r="T19" s="145">
        <f t="shared" si="14"/>
        <v>2018718230.6700001</v>
      </c>
      <c r="U19" s="145">
        <f t="shared" si="14"/>
        <v>1266666666.0799999</v>
      </c>
      <c r="V19" s="145">
        <f>SUM(J19:U19)</f>
        <v>16356154691.43</v>
      </c>
      <c r="W19" s="64"/>
    </row>
    <row r="20" spans="1:66" s="12" customFormat="1" x14ac:dyDescent="0.2">
      <c r="A20" s="154"/>
      <c r="B20" s="94" t="s">
        <v>203</v>
      </c>
      <c r="C20" s="173" t="s">
        <v>106</v>
      </c>
      <c r="D20" s="107">
        <v>200000000</v>
      </c>
      <c r="E20" s="106"/>
      <c r="F20" s="106"/>
      <c r="G20" s="106"/>
      <c r="H20" s="106"/>
      <c r="I20" s="80">
        <f>D20+E20-F20+G20-H20</f>
        <v>200000000</v>
      </c>
      <c r="J20" s="106">
        <f>J101</f>
        <v>0</v>
      </c>
      <c r="K20" s="106">
        <f t="shared" ref="K20:U20" si="15">K101</f>
        <v>0</v>
      </c>
      <c r="L20" s="106">
        <f t="shared" si="15"/>
        <v>0</v>
      </c>
      <c r="M20" s="106">
        <f t="shared" si="15"/>
        <v>0</v>
      </c>
      <c r="N20" s="106">
        <f t="shared" si="15"/>
        <v>0</v>
      </c>
      <c r="O20" s="106">
        <f t="shared" si="15"/>
        <v>0</v>
      </c>
      <c r="P20" s="106">
        <f t="shared" si="15"/>
        <v>33333333.329999998</v>
      </c>
      <c r="Q20" s="106">
        <f t="shared" si="15"/>
        <v>33333333.329999998</v>
      </c>
      <c r="R20" s="106">
        <f t="shared" si="15"/>
        <v>33333333.329999998</v>
      </c>
      <c r="S20" s="106">
        <f t="shared" si="15"/>
        <v>33333333.329999998</v>
      </c>
      <c r="T20" s="106">
        <f t="shared" si="15"/>
        <v>33333333.329999998</v>
      </c>
      <c r="U20" s="106">
        <f t="shared" si="15"/>
        <v>33333333.349999998</v>
      </c>
      <c r="V20" s="106">
        <f>SUM(J20:U20)</f>
        <v>199999999.99999997</v>
      </c>
      <c r="W20" s="64"/>
    </row>
    <row r="21" spans="1:66" s="12" customFormat="1" x14ac:dyDescent="0.2">
      <c r="A21" s="154"/>
      <c r="B21" s="140" t="s">
        <v>134</v>
      </c>
      <c r="C21" s="173" t="s">
        <v>106</v>
      </c>
      <c r="D21" s="109">
        <v>21000000000</v>
      </c>
      <c r="E21" s="106">
        <v>0</v>
      </c>
      <c r="F21" s="106">
        <v>0</v>
      </c>
      <c r="G21" s="106">
        <v>0</v>
      </c>
      <c r="H21" s="106">
        <v>0</v>
      </c>
      <c r="I21" s="139">
        <f t="shared" si="8"/>
        <v>21000000000</v>
      </c>
      <c r="J21" s="106">
        <f>J103</f>
        <v>0</v>
      </c>
      <c r="K21" s="106">
        <f t="shared" ref="K21:U21" si="16">K103</f>
        <v>0</v>
      </c>
      <c r="L21" s="106">
        <v>0</v>
      </c>
      <c r="M21" s="106">
        <v>0</v>
      </c>
      <c r="N21" s="138">
        <v>21000000000</v>
      </c>
      <c r="O21" s="106">
        <v>0</v>
      </c>
      <c r="P21" s="106">
        <v>0</v>
      </c>
      <c r="Q21" s="106">
        <v>0</v>
      </c>
      <c r="R21" s="106">
        <v>0</v>
      </c>
      <c r="S21" s="106">
        <f t="shared" si="16"/>
        <v>0</v>
      </c>
      <c r="T21" s="106">
        <f t="shared" si="16"/>
        <v>0</v>
      </c>
      <c r="U21" s="106">
        <f t="shared" si="16"/>
        <v>0</v>
      </c>
      <c r="V21" s="106">
        <f t="shared" si="7"/>
        <v>21000000000</v>
      </c>
      <c r="W21" s="64"/>
    </row>
    <row r="22" spans="1:66" s="12" customFormat="1" x14ac:dyDescent="0.2">
      <c r="A22" s="154"/>
      <c r="B22" s="94" t="s">
        <v>200</v>
      </c>
      <c r="C22" s="173" t="s">
        <v>106</v>
      </c>
      <c r="D22" s="107">
        <v>32826083191</v>
      </c>
      <c r="E22" s="106">
        <v>0</v>
      </c>
      <c r="F22" s="106">
        <v>0</v>
      </c>
      <c r="G22" s="106">
        <v>0</v>
      </c>
      <c r="H22" s="106">
        <v>0</v>
      </c>
      <c r="I22" s="80">
        <f t="shared" si="8"/>
        <v>32826083191</v>
      </c>
      <c r="J22" s="106">
        <f>J105</f>
        <v>1845414883.880373</v>
      </c>
      <c r="K22" s="106">
        <f t="shared" ref="K22:U22" si="17">K105</f>
        <v>1867976950.5188456</v>
      </c>
      <c r="L22" s="106">
        <f t="shared" si="17"/>
        <v>2618167008.7400026</v>
      </c>
      <c r="M22" s="106">
        <f t="shared" si="17"/>
        <v>2827267299.5863862</v>
      </c>
      <c r="N22" s="106">
        <f t="shared" si="17"/>
        <v>2830662597.0160928</v>
      </c>
      <c r="O22" s="106">
        <f t="shared" si="17"/>
        <v>2715449052.9799013</v>
      </c>
      <c r="P22" s="106">
        <f t="shared" si="17"/>
        <v>3096007746.0597014</v>
      </c>
      <c r="Q22" s="106">
        <f t="shared" si="17"/>
        <v>2898747086.7552476</v>
      </c>
      <c r="R22" s="106">
        <f t="shared" si="17"/>
        <v>3131765492.5218396</v>
      </c>
      <c r="S22" s="106">
        <f t="shared" si="17"/>
        <v>3161960677.5015321</v>
      </c>
      <c r="T22" s="106">
        <f t="shared" si="17"/>
        <v>2811958217.8090067</v>
      </c>
      <c r="U22" s="106">
        <f t="shared" si="17"/>
        <v>3020706177.6310716</v>
      </c>
      <c r="V22" s="106">
        <f t="shared" si="7"/>
        <v>32826083191</v>
      </c>
      <c r="W22" s="64"/>
    </row>
    <row r="23" spans="1:66" s="15" customFormat="1" x14ac:dyDescent="0.2">
      <c r="A23" s="2"/>
      <c r="B23" s="4"/>
      <c r="C23" s="172" t="s">
        <v>10</v>
      </c>
      <c r="D23" s="105"/>
      <c r="E23" s="105">
        <v>0</v>
      </c>
      <c r="F23" s="105">
        <v>0</v>
      </c>
      <c r="G23" s="105">
        <v>0</v>
      </c>
      <c r="H23" s="105">
        <v>0</v>
      </c>
      <c r="I23" s="111">
        <f>+D23+E23-F23+G23-H23</f>
        <v>0</v>
      </c>
      <c r="J23" s="105">
        <v>0</v>
      </c>
      <c r="K23" s="102">
        <v>0</v>
      </c>
      <c r="L23" s="102">
        <v>0</v>
      </c>
      <c r="M23" s="102">
        <v>0</v>
      </c>
      <c r="N23" s="102">
        <v>0</v>
      </c>
      <c r="O23" s="102">
        <v>0</v>
      </c>
      <c r="P23" s="102">
        <v>0</v>
      </c>
      <c r="Q23" s="102">
        <v>0</v>
      </c>
      <c r="R23" s="102">
        <v>0</v>
      </c>
      <c r="S23" s="102">
        <v>0</v>
      </c>
      <c r="T23" s="102">
        <v>0</v>
      </c>
      <c r="U23" s="102">
        <v>0</v>
      </c>
      <c r="V23" s="106">
        <f>SUM(J23:U23)</f>
        <v>0</v>
      </c>
      <c r="W23" s="64"/>
    </row>
    <row r="24" spans="1:66" s="11" customFormat="1" x14ac:dyDescent="0.2">
      <c r="A24" s="155"/>
      <c r="B24" s="14">
        <v>3</v>
      </c>
      <c r="C24" s="169" t="s">
        <v>11</v>
      </c>
      <c r="D24" s="102">
        <f>+D25</f>
        <v>0</v>
      </c>
      <c r="E24" s="102">
        <f>+E25+E26+E27</f>
        <v>0</v>
      </c>
      <c r="F24" s="102">
        <f>+F25+F26+F27</f>
        <v>0</v>
      </c>
      <c r="G24" s="102">
        <v>0</v>
      </c>
      <c r="H24" s="102">
        <v>0</v>
      </c>
      <c r="I24" s="111">
        <f>+D24+E24-F24+G24-H24</f>
        <v>0</v>
      </c>
      <c r="J24" s="102">
        <f t="shared" ref="J24:U24" si="18">+J25+J26+J27</f>
        <v>0</v>
      </c>
      <c r="K24" s="102">
        <f t="shared" si="18"/>
        <v>0</v>
      </c>
      <c r="L24" s="102">
        <f t="shared" si="18"/>
        <v>0</v>
      </c>
      <c r="M24" s="102">
        <f t="shared" si="18"/>
        <v>0</v>
      </c>
      <c r="N24" s="102">
        <f t="shared" si="18"/>
        <v>0</v>
      </c>
      <c r="O24" s="102">
        <f t="shared" si="18"/>
        <v>0</v>
      </c>
      <c r="P24" s="102">
        <f t="shared" si="18"/>
        <v>0</v>
      </c>
      <c r="Q24" s="102">
        <f t="shared" si="18"/>
        <v>0</v>
      </c>
      <c r="R24" s="102">
        <f t="shared" si="18"/>
        <v>0</v>
      </c>
      <c r="S24" s="102">
        <f t="shared" si="18"/>
        <v>0</v>
      </c>
      <c r="T24" s="102">
        <f t="shared" si="18"/>
        <v>0</v>
      </c>
      <c r="U24" s="102">
        <f t="shared" si="18"/>
        <v>0</v>
      </c>
      <c r="V24" s="106">
        <f>SUM(J24:U24)</f>
        <v>0</v>
      </c>
      <c r="W24" s="64"/>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row>
    <row r="25" spans="1:66" s="11" customFormat="1" x14ac:dyDescent="0.2">
      <c r="A25" s="155"/>
      <c r="B25" s="13"/>
      <c r="C25" s="169" t="s">
        <v>12</v>
      </c>
      <c r="D25" s="102">
        <v>0</v>
      </c>
      <c r="E25" s="102">
        <v>0</v>
      </c>
      <c r="F25" s="102">
        <v>0</v>
      </c>
      <c r="G25" s="102">
        <v>0</v>
      </c>
      <c r="H25" s="102">
        <v>0</v>
      </c>
      <c r="I25" s="111">
        <f>+D25+E25-F25+G25-H25</f>
        <v>0</v>
      </c>
      <c r="J25" s="102">
        <v>0</v>
      </c>
      <c r="K25" s="102">
        <v>0</v>
      </c>
      <c r="L25" s="102">
        <v>0</v>
      </c>
      <c r="M25" s="102">
        <v>0</v>
      </c>
      <c r="N25" s="102">
        <v>0</v>
      </c>
      <c r="O25" s="102">
        <v>0</v>
      </c>
      <c r="P25" s="102">
        <v>0</v>
      </c>
      <c r="Q25" s="102">
        <v>0</v>
      </c>
      <c r="R25" s="102">
        <v>0</v>
      </c>
      <c r="S25" s="102">
        <v>0</v>
      </c>
      <c r="T25" s="102">
        <v>0</v>
      </c>
      <c r="U25" s="102">
        <v>0</v>
      </c>
      <c r="V25" s="106">
        <f>SUM(J25:U25)</f>
        <v>0</v>
      </c>
      <c r="W25" s="64"/>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row>
    <row r="26" spans="1:66" s="15" customFormat="1" x14ac:dyDescent="0.2">
      <c r="A26" s="2"/>
      <c r="B26" s="4"/>
      <c r="C26" s="172" t="s">
        <v>13</v>
      </c>
      <c r="D26" s="105">
        <v>0</v>
      </c>
      <c r="E26" s="105">
        <v>0</v>
      </c>
      <c r="F26" s="105">
        <v>0</v>
      </c>
      <c r="G26" s="105">
        <v>0</v>
      </c>
      <c r="H26" s="105">
        <v>0</v>
      </c>
      <c r="I26" s="111">
        <f>+D26+E26-F26+G26-H26</f>
        <v>0</v>
      </c>
      <c r="J26" s="102"/>
      <c r="K26" s="102"/>
      <c r="L26" s="102"/>
      <c r="M26" s="102"/>
      <c r="N26" s="102">
        <v>0</v>
      </c>
      <c r="O26" s="102">
        <v>0</v>
      </c>
      <c r="P26" s="102"/>
      <c r="Q26" s="102"/>
      <c r="R26" s="102"/>
      <c r="S26" s="102"/>
      <c r="T26" s="102"/>
      <c r="U26" s="102"/>
      <c r="V26" s="106">
        <f>SUM(J26:U26)</f>
        <v>0</v>
      </c>
      <c r="W26" s="64"/>
    </row>
    <row r="27" spans="1:66" s="11" customFormat="1" x14ac:dyDescent="0.2">
      <c r="A27" s="155"/>
      <c r="B27" s="13"/>
      <c r="C27" s="169" t="s">
        <v>14</v>
      </c>
      <c r="D27" s="102">
        <v>0</v>
      </c>
      <c r="E27" s="102">
        <v>0</v>
      </c>
      <c r="F27" s="102">
        <v>0</v>
      </c>
      <c r="G27" s="102">
        <v>0</v>
      </c>
      <c r="H27" s="102">
        <v>0</v>
      </c>
      <c r="I27" s="111">
        <f>+D27+E27-F27+G27-H27</f>
        <v>0</v>
      </c>
      <c r="J27" s="102"/>
      <c r="K27" s="102"/>
      <c r="L27" s="102"/>
      <c r="M27" s="102"/>
      <c r="N27" s="102"/>
      <c r="O27" s="102"/>
      <c r="P27" s="102"/>
      <c r="Q27" s="102"/>
      <c r="R27" s="102"/>
      <c r="S27" s="102"/>
      <c r="T27" s="102"/>
      <c r="U27" s="102"/>
      <c r="V27" s="106">
        <f>SUM(J27:U27)</f>
        <v>0</v>
      </c>
      <c r="W27" s="64"/>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row>
    <row r="28" spans="1:66" s="22" customFormat="1" x14ac:dyDescent="0.2">
      <c r="A28" s="156"/>
      <c r="B28" s="21" t="s">
        <v>34</v>
      </c>
      <c r="C28" s="174" t="s">
        <v>33</v>
      </c>
      <c r="D28" s="110">
        <f>D5+D9+D24</f>
        <v>192551188108.51001</v>
      </c>
      <c r="E28" s="110">
        <f t="shared" ref="E28:V28" si="19">+E5+E9+E24</f>
        <v>0</v>
      </c>
      <c r="F28" s="110">
        <f t="shared" si="19"/>
        <v>0</v>
      </c>
      <c r="G28" s="110">
        <f t="shared" si="19"/>
        <v>0</v>
      </c>
      <c r="H28" s="110">
        <f t="shared" si="19"/>
        <v>0</v>
      </c>
      <c r="I28" s="110">
        <f t="shared" si="19"/>
        <v>192551188108.51001</v>
      </c>
      <c r="J28" s="110">
        <f>+J5+J9+J24</f>
        <v>2484397757.2505584</v>
      </c>
      <c r="K28" s="110">
        <f t="shared" si="19"/>
        <v>6939722005.7090311</v>
      </c>
      <c r="L28" s="110">
        <f t="shared" si="19"/>
        <v>8991022841.4161873</v>
      </c>
      <c r="M28" s="110">
        <f t="shared" si="19"/>
        <v>6509311173.0765715</v>
      </c>
      <c r="N28" s="110">
        <f t="shared" si="19"/>
        <v>30091478429.690281</v>
      </c>
      <c r="O28" s="110">
        <f t="shared" si="19"/>
        <v>9078303616.1280861</v>
      </c>
      <c r="P28" s="110">
        <f t="shared" si="19"/>
        <v>5942476066.6818867</v>
      </c>
      <c r="Q28" s="110">
        <f t="shared" si="19"/>
        <v>5252933817.3854332</v>
      </c>
      <c r="R28" s="110">
        <f t="shared" si="19"/>
        <v>7084908549.0620251</v>
      </c>
      <c r="S28" s="110">
        <f t="shared" si="19"/>
        <v>6607246591.1857166</v>
      </c>
      <c r="T28" s="110">
        <f t="shared" si="19"/>
        <v>5671053655.2991924</v>
      </c>
      <c r="U28" s="110">
        <f t="shared" si="19"/>
        <v>7256611317.9912567</v>
      </c>
      <c r="V28" s="110">
        <f t="shared" si="19"/>
        <v>101909465820.87624</v>
      </c>
      <c r="W28" s="64"/>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row>
    <row r="29" spans="1:66" s="2" customFormat="1" x14ac:dyDescent="0.2">
      <c r="B29" s="4"/>
      <c r="C29" s="172" t="s">
        <v>38</v>
      </c>
      <c r="D29" s="105" t="s">
        <v>21</v>
      </c>
      <c r="E29" s="105" t="s">
        <v>22</v>
      </c>
      <c r="F29" s="105" t="s">
        <v>23</v>
      </c>
      <c r="G29" s="105" t="s">
        <v>40</v>
      </c>
      <c r="H29" s="105" t="s">
        <v>41</v>
      </c>
      <c r="I29" s="105" t="s">
        <v>24</v>
      </c>
      <c r="J29" s="122" t="s">
        <v>25</v>
      </c>
      <c r="K29" s="122" t="s">
        <v>26</v>
      </c>
      <c r="L29" s="122" t="s">
        <v>0</v>
      </c>
      <c r="M29" s="122" t="s">
        <v>27</v>
      </c>
      <c r="N29" s="122" t="s">
        <v>3</v>
      </c>
      <c r="O29" s="122" t="s">
        <v>1</v>
      </c>
      <c r="P29" s="122" t="s">
        <v>28</v>
      </c>
      <c r="Q29" s="122" t="s">
        <v>4</v>
      </c>
      <c r="R29" s="122" t="s">
        <v>29</v>
      </c>
      <c r="S29" s="122" t="s">
        <v>2</v>
      </c>
      <c r="T29" s="122" t="s">
        <v>30</v>
      </c>
      <c r="U29" s="122" t="s">
        <v>31</v>
      </c>
      <c r="V29" s="122" t="s">
        <v>32</v>
      </c>
      <c r="W29" s="64"/>
    </row>
    <row r="30" spans="1:66" s="11" customFormat="1" x14ac:dyDescent="0.2">
      <c r="A30" s="155"/>
      <c r="B30" s="13" t="s">
        <v>59</v>
      </c>
      <c r="C30" s="169" t="s">
        <v>15</v>
      </c>
      <c r="D30" s="111">
        <f>+D31+D38+D46+D49+D65+D67+D71+0.01</f>
        <v>11768629792.902225</v>
      </c>
      <c r="E30" s="111">
        <f>+E31+E38+E46+E49+E65+E67+E71</f>
        <v>0</v>
      </c>
      <c r="F30" s="111">
        <f>+F31+F38+F46+F49+F65+F67+F71</f>
        <v>0</v>
      </c>
      <c r="G30" s="111">
        <f>+G31+G38+G46+G49+G65+G67+G71</f>
        <v>0</v>
      </c>
      <c r="H30" s="111">
        <f>+H31+H38+H46+H49+H65+H67+H71</f>
        <v>0</v>
      </c>
      <c r="I30" s="111">
        <f>+D30+E30-F30+G30-H30</f>
        <v>11768629792.902225</v>
      </c>
      <c r="J30" s="111">
        <f>+J31+J38+J46+J49+J65+J67</f>
        <v>638982873.37018549</v>
      </c>
      <c r="K30" s="111">
        <f t="shared" ref="K30:U30" si="20">+K31+K38+K46+K49+K65+K67</f>
        <v>821745055.19018555</v>
      </c>
      <c r="L30" s="111">
        <f t="shared" si="20"/>
        <v>1073563873.4901855</v>
      </c>
      <c r="M30" s="111">
        <f t="shared" si="20"/>
        <v>832043873.4901855</v>
      </c>
      <c r="N30" s="111">
        <f t="shared" si="20"/>
        <v>961523873.4901855</v>
      </c>
      <c r="O30" s="111">
        <f t="shared" si="20"/>
        <v>1029390761.4901855</v>
      </c>
      <c r="P30" s="111">
        <f t="shared" si="20"/>
        <v>827043873.4901855</v>
      </c>
      <c r="Q30" s="111">
        <f t="shared" si="20"/>
        <v>847043873.4901855</v>
      </c>
      <c r="R30" s="111">
        <f t="shared" si="20"/>
        <v>1732043873.4901855</v>
      </c>
      <c r="S30" s="111">
        <f t="shared" si="20"/>
        <v>817043873.4901855</v>
      </c>
      <c r="T30" s="111">
        <f t="shared" si="20"/>
        <v>807043873.4901855</v>
      </c>
      <c r="U30" s="111">
        <f t="shared" si="20"/>
        <v>1381160114.9301856</v>
      </c>
      <c r="V30" s="132">
        <f>SUM(J30:U30)</f>
        <v>11768629792.902225</v>
      </c>
      <c r="W30" s="64"/>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row>
    <row r="31" spans="1:66" s="17" customFormat="1" x14ac:dyDescent="0.2">
      <c r="A31" s="154"/>
      <c r="B31" s="23" t="s">
        <v>68</v>
      </c>
      <c r="C31" s="5" t="s">
        <v>69</v>
      </c>
      <c r="D31" s="76">
        <f>SUM(D32:D37)</f>
        <v>5543330440.8199997</v>
      </c>
      <c r="E31" s="76">
        <f>SUM(E32:E37)</f>
        <v>0</v>
      </c>
      <c r="F31" s="76">
        <f>SUM(F32:F37)</f>
        <v>0</v>
      </c>
      <c r="G31" s="76">
        <f>SUM(G32:G37)</f>
        <v>0</v>
      </c>
      <c r="H31" s="76">
        <f>SUM(H32:H37)</f>
        <v>0</v>
      </c>
      <c r="I31" s="76">
        <f>+D31+E31-F31+G31-H31</f>
        <v>5543330440.8199997</v>
      </c>
      <c r="J31" s="76">
        <f>SUM(J32:J37)</f>
        <v>409738942.81833327</v>
      </c>
      <c r="K31" s="76">
        <f t="shared" ref="K31:T31" si="21">SUM(K32:K37)</f>
        <v>409738942.81833327</v>
      </c>
      <c r="L31" s="76">
        <f t="shared" si="21"/>
        <v>409738942.81833327</v>
      </c>
      <c r="M31" s="76">
        <f t="shared" si="21"/>
        <v>409738942.81833327</v>
      </c>
      <c r="N31" s="76">
        <f t="shared" si="21"/>
        <v>409738942.81833327</v>
      </c>
      <c r="O31" s="76">
        <f t="shared" si="21"/>
        <v>602085830.81833327</v>
      </c>
      <c r="P31" s="76">
        <f t="shared" si="21"/>
        <v>409738942.81833327</v>
      </c>
      <c r="Q31" s="76">
        <f t="shared" si="21"/>
        <v>409738942.81833327</v>
      </c>
      <c r="R31" s="76">
        <f t="shared" si="21"/>
        <v>409738942.81833327</v>
      </c>
      <c r="S31" s="76">
        <f t="shared" si="21"/>
        <v>409738942.81833327</v>
      </c>
      <c r="T31" s="76">
        <f t="shared" si="21"/>
        <v>409738942.81833327</v>
      </c>
      <c r="U31" s="76">
        <f>SUM(U32:U37)</f>
        <v>843855181.81833327</v>
      </c>
      <c r="V31" s="133">
        <f>SUM(J31:U31)</f>
        <v>5543330440.8199987</v>
      </c>
      <c r="W31" s="64"/>
    </row>
    <row r="32" spans="1:66" s="17" customFormat="1" ht="13.5" x14ac:dyDescent="0.2">
      <c r="A32" s="154"/>
      <c r="B32" s="7" t="s">
        <v>70</v>
      </c>
      <c r="C32" s="175" t="s">
        <v>58</v>
      </c>
      <c r="D32" s="82">
        <v>4472092723</v>
      </c>
      <c r="E32" s="112">
        <v>0</v>
      </c>
      <c r="F32" s="79">
        <v>0</v>
      </c>
      <c r="G32" s="79">
        <v>0</v>
      </c>
      <c r="H32" s="79">
        <v>0</v>
      </c>
      <c r="I32" s="79">
        <f t="shared" ref="I32:I37" si="22">+D32+E32-F32+G32-H32</f>
        <v>4472092723</v>
      </c>
      <c r="J32" s="79">
        <v>372674393.58333331</v>
      </c>
      <c r="K32" s="79">
        <v>372674393.58333331</v>
      </c>
      <c r="L32" s="79">
        <v>372674393.58333331</v>
      </c>
      <c r="M32" s="79">
        <v>372674393.58333331</v>
      </c>
      <c r="N32" s="79">
        <v>372674393.58333331</v>
      </c>
      <c r="O32" s="79">
        <v>372674393.58333331</v>
      </c>
      <c r="P32" s="79">
        <v>372674393.58333331</v>
      </c>
      <c r="Q32" s="79">
        <v>372674393.58333331</v>
      </c>
      <c r="R32" s="79">
        <v>372674393.58333331</v>
      </c>
      <c r="S32" s="79">
        <v>372674393.58333331</v>
      </c>
      <c r="T32" s="79">
        <v>372674393.58333331</v>
      </c>
      <c r="U32" s="79">
        <v>372674393.58333331</v>
      </c>
      <c r="V32" s="134">
        <f t="shared" ref="V32:V97" si="23">SUM(J32:U32)</f>
        <v>4472092723.000001</v>
      </c>
      <c r="W32" s="64"/>
    </row>
    <row r="33" spans="1:23" s="17" customFormat="1" ht="13.5" x14ac:dyDescent="0.2">
      <c r="A33" s="154"/>
      <c r="B33" s="7" t="s">
        <v>60</v>
      </c>
      <c r="C33" s="176" t="s">
        <v>61</v>
      </c>
      <c r="D33" s="82">
        <v>192346888</v>
      </c>
      <c r="E33" s="112">
        <v>0</v>
      </c>
      <c r="F33" s="79">
        <v>0</v>
      </c>
      <c r="G33" s="79">
        <v>0</v>
      </c>
      <c r="H33" s="79">
        <v>0</v>
      </c>
      <c r="I33" s="118">
        <f t="shared" si="22"/>
        <v>192346888</v>
      </c>
      <c r="J33" s="118">
        <v>0</v>
      </c>
      <c r="K33" s="118">
        <v>0</v>
      </c>
      <c r="L33" s="118">
        <v>0</v>
      </c>
      <c r="M33" s="118">
        <v>0</v>
      </c>
      <c r="N33" s="118">
        <v>0</v>
      </c>
      <c r="O33" s="118">
        <v>192346888</v>
      </c>
      <c r="P33" s="118">
        <v>0</v>
      </c>
      <c r="Q33" s="118">
        <v>0</v>
      </c>
      <c r="R33" s="118">
        <v>0</v>
      </c>
      <c r="S33" s="118">
        <v>0</v>
      </c>
      <c r="T33" s="118">
        <v>0</v>
      </c>
      <c r="U33" s="118">
        <v>0</v>
      </c>
      <c r="V33" s="118">
        <f t="shared" si="23"/>
        <v>192346888</v>
      </c>
      <c r="W33" s="64"/>
    </row>
    <row r="34" spans="1:23" s="17" customFormat="1" ht="13.5" x14ac:dyDescent="0.2">
      <c r="A34" s="154"/>
      <c r="B34" s="7" t="s">
        <v>62</v>
      </c>
      <c r="C34" s="176" t="s">
        <v>44</v>
      </c>
      <c r="D34" s="82">
        <v>130827033</v>
      </c>
      <c r="E34" s="112">
        <v>0</v>
      </c>
      <c r="F34" s="79">
        <v>0</v>
      </c>
      <c r="G34" s="79">
        <v>0</v>
      </c>
      <c r="H34" s="79">
        <v>0</v>
      </c>
      <c r="I34" s="79">
        <f t="shared" si="22"/>
        <v>130827033</v>
      </c>
      <c r="J34" s="79">
        <v>10902252.75</v>
      </c>
      <c r="K34" s="79">
        <v>10902252.75</v>
      </c>
      <c r="L34" s="79">
        <v>10902252.75</v>
      </c>
      <c r="M34" s="79">
        <v>10902252.75</v>
      </c>
      <c r="N34" s="79">
        <v>10902252.75</v>
      </c>
      <c r="O34" s="79">
        <v>10902252.75</v>
      </c>
      <c r="P34" s="79">
        <v>10902252.75</v>
      </c>
      <c r="Q34" s="79">
        <v>10902252.75</v>
      </c>
      <c r="R34" s="79">
        <v>10902252.75</v>
      </c>
      <c r="S34" s="79">
        <v>10902252.75</v>
      </c>
      <c r="T34" s="79">
        <v>10902252.75</v>
      </c>
      <c r="U34" s="79">
        <v>10902252.75</v>
      </c>
      <c r="V34" s="79">
        <f t="shared" si="23"/>
        <v>130827033</v>
      </c>
      <c r="W34" s="64"/>
    </row>
    <row r="35" spans="1:23" s="17" customFormat="1" ht="13.5" x14ac:dyDescent="0.2">
      <c r="A35" s="154"/>
      <c r="B35" s="7" t="s">
        <v>135</v>
      </c>
      <c r="C35" s="176" t="s">
        <v>63</v>
      </c>
      <c r="D35" s="82">
        <v>434116239</v>
      </c>
      <c r="E35" s="112">
        <v>0</v>
      </c>
      <c r="F35" s="79">
        <v>0</v>
      </c>
      <c r="G35" s="79">
        <v>0</v>
      </c>
      <c r="H35" s="79">
        <v>0</v>
      </c>
      <c r="I35" s="118">
        <f t="shared" si="22"/>
        <v>434116239</v>
      </c>
      <c r="J35" s="118">
        <v>0</v>
      </c>
      <c r="K35" s="118">
        <v>0</v>
      </c>
      <c r="L35" s="118">
        <v>0</v>
      </c>
      <c r="M35" s="118">
        <v>0</v>
      </c>
      <c r="N35" s="118">
        <v>0</v>
      </c>
      <c r="O35" s="118">
        <v>0</v>
      </c>
      <c r="P35" s="118">
        <v>0</v>
      </c>
      <c r="Q35" s="118">
        <v>0</v>
      </c>
      <c r="R35" s="118">
        <v>0</v>
      </c>
      <c r="S35" s="118">
        <v>0</v>
      </c>
      <c r="T35" s="118">
        <v>0</v>
      </c>
      <c r="U35" s="118">
        <v>434116239</v>
      </c>
      <c r="V35" s="118">
        <f t="shared" si="23"/>
        <v>434116239</v>
      </c>
      <c r="W35" s="64"/>
    </row>
    <row r="36" spans="1:23" s="17" customFormat="1" ht="13.5" x14ac:dyDescent="0.2">
      <c r="A36" s="154"/>
      <c r="B36" s="7" t="s">
        <v>64</v>
      </c>
      <c r="C36" s="176" t="s">
        <v>65</v>
      </c>
      <c r="D36" s="82">
        <v>300542011.81999999</v>
      </c>
      <c r="E36" s="112">
        <v>0</v>
      </c>
      <c r="F36" s="79">
        <v>0</v>
      </c>
      <c r="G36" s="79">
        <v>0</v>
      </c>
      <c r="H36" s="79">
        <v>0</v>
      </c>
      <c r="I36" s="118">
        <f t="shared" si="22"/>
        <v>300542011.81999999</v>
      </c>
      <c r="J36" s="118">
        <v>25045167.651666667</v>
      </c>
      <c r="K36" s="118">
        <v>25045167.651666667</v>
      </c>
      <c r="L36" s="118">
        <v>25045167.651666667</v>
      </c>
      <c r="M36" s="118">
        <v>25045167.651666667</v>
      </c>
      <c r="N36" s="118">
        <v>25045167.651666667</v>
      </c>
      <c r="O36" s="118">
        <v>25045167.651666667</v>
      </c>
      <c r="P36" s="118">
        <v>25045167.651666667</v>
      </c>
      <c r="Q36" s="118">
        <v>25045167.651666667</v>
      </c>
      <c r="R36" s="118">
        <v>25045167.651666667</v>
      </c>
      <c r="S36" s="118">
        <v>25045167.651666667</v>
      </c>
      <c r="T36" s="118">
        <v>25045167.651666667</v>
      </c>
      <c r="U36" s="118">
        <v>25045167.651666667</v>
      </c>
      <c r="V36" s="118">
        <f t="shared" si="23"/>
        <v>300542011.81999999</v>
      </c>
      <c r="W36" s="64"/>
    </row>
    <row r="37" spans="1:23" s="17" customFormat="1" ht="13.5" x14ac:dyDescent="0.2">
      <c r="A37" s="154"/>
      <c r="B37" s="7" t="s">
        <v>66</v>
      </c>
      <c r="C37" s="176" t="s">
        <v>67</v>
      </c>
      <c r="D37" s="82">
        <v>13405546</v>
      </c>
      <c r="E37" s="112">
        <v>0</v>
      </c>
      <c r="F37" s="79">
        <v>0</v>
      </c>
      <c r="G37" s="79">
        <v>0</v>
      </c>
      <c r="H37" s="79">
        <v>0</v>
      </c>
      <c r="I37" s="118">
        <f t="shared" si="22"/>
        <v>13405546</v>
      </c>
      <c r="J37" s="118">
        <v>1117128.8333333333</v>
      </c>
      <c r="K37" s="118">
        <v>1117128.8333333333</v>
      </c>
      <c r="L37" s="118">
        <v>1117128.8333333333</v>
      </c>
      <c r="M37" s="118">
        <v>1117128.8333333333</v>
      </c>
      <c r="N37" s="118">
        <v>1117128.8333333333</v>
      </c>
      <c r="O37" s="118">
        <v>1117128.8333333333</v>
      </c>
      <c r="P37" s="118">
        <v>1117128.8333333333</v>
      </c>
      <c r="Q37" s="118">
        <v>1117128.8333333333</v>
      </c>
      <c r="R37" s="118">
        <v>1117128.8333333333</v>
      </c>
      <c r="S37" s="118">
        <v>1117128.8333333333</v>
      </c>
      <c r="T37" s="118">
        <v>1117128.8333333333</v>
      </c>
      <c r="U37" s="118">
        <v>1117128.8333333333</v>
      </c>
      <c r="V37" s="118">
        <f t="shared" si="23"/>
        <v>13405546.000000002</v>
      </c>
      <c r="W37" s="64"/>
    </row>
    <row r="38" spans="1:23" s="17" customFormat="1" x14ac:dyDescent="0.2">
      <c r="A38" s="154"/>
      <c r="B38" s="23" t="s">
        <v>71</v>
      </c>
      <c r="C38" s="5" t="s">
        <v>72</v>
      </c>
      <c r="D38" s="76">
        <f>SUM(D39:D45)</f>
        <v>2253421642</v>
      </c>
      <c r="E38" s="76">
        <f>SUM(E39:E45)</f>
        <v>0</v>
      </c>
      <c r="F38" s="76">
        <f>SUM(F39:F45)</f>
        <v>0</v>
      </c>
      <c r="G38" s="76">
        <f>SUM(G39:G45)</f>
        <v>0</v>
      </c>
      <c r="H38" s="76">
        <f>SUM(H39:H45)</f>
        <v>0</v>
      </c>
      <c r="I38" s="76">
        <f>+D38+E38-F38+G38-H38</f>
        <v>2253421642</v>
      </c>
      <c r="J38" s="76">
        <f t="shared" ref="J38:U38" si="24">SUM(J39:J45)</f>
        <v>187785136.83333331</v>
      </c>
      <c r="K38" s="76">
        <f t="shared" si="24"/>
        <v>187785136.83333331</v>
      </c>
      <c r="L38" s="76">
        <f t="shared" si="24"/>
        <v>187785136.83333331</v>
      </c>
      <c r="M38" s="76">
        <f t="shared" si="24"/>
        <v>187785136.83333331</v>
      </c>
      <c r="N38" s="76">
        <f t="shared" si="24"/>
        <v>187785136.83333331</v>
      </c>
      <c r="O38" s="76">
        <f t="shared" si="24"/>
        <v>187785136.83333331</v>
      </c>
      <c r="P38" s="76">
        <f t="shared" si="24"/>
        <v>187785136.83333331</v>
      </c>
      <c r="Q38" s="76">
        <f t="shared" si="24"/>
        <v>187785136.83333331</v>
      </c>
      <c r="R38" s="76">
        <f t="shared" si="24"/>
        <v>187785136.83333331</v>
      </c>
      <c r="S38" s="76">
        <f t="shared" si="24"/>
        <v>187785136.83333331</v>
      </c>
      <c r="T38" s="76">
        <f t="shared" si="24"/>
        <v>187785136.83333331</v>
      </c>
      <c r="U38" s="76">
        <f t="shared" si="24"/>
        <v>187785136.83333331</v>
      </c>
      <c r="V38" s="133">
        <f t="shared" si="23"/>
        <v>2253421641.9999995</v>
      </c>
      <c r="W38" s="64"/>
    </row>
    <row r="39" spans="1:23" s="17" customFormat="1" ht="13.5" x14ac:dyDescent="0.2">
      <c r="A39" s="154"/>
      <c r="B39" s="7" t="s">
        <v>73</v>
      </c>
      <c r="C39" s="176" t="s">
        <v>74</v>
      </c>
      <c r="D39" s="82">
        <v>653165372</v>
      </c>
      <c r="E39" s="112">
        <v>0</v>
      </c>
      <c r="F39" s="79">
        <v>0</v>
      </c>
      <c r="G39" s="79">
        <v>0</v>
      </c>
      <c r="H39" s="79">
        <v>0</v>
      </c>
      <c r="I39" s="79">
        <f t="shared" ref="I39:I45" si="25">+D39+E39-F39+G39-H39</f>
        <v>653165372</v>
      </c>
      <c r="J39" s="118">
        <v>54430447.666666664</v>
      </c>
      <c r="K39" s="118">
        <v>54430447.666666664</v>
      </c>
      <c r="L39" s="118">
        <v>54430447.666666664</v>
      </c>
      <c r="M39" s="118">
        <v>54430447.666666664</v>
      </c>
      <c r="N39" s="118">
        <v>54430447.666666664</v>
      </c>
      <c r="O39" s="118">
        <v>54430447.666666664</v>
      </c>
      <c r="P39" s="118">
        <v>54430447.666666664</v>
      </c>
      <c r="Q39" s="118">
        <v>54430447.666666664</v>
      </c>
      <c r="R39" s="118">
        <v>54430447.666666664</v>
      </c>
      <c r="S39" s="118">
        <v>54430447.666666664</v>
      </c>
      <c r="T39" s="118">
        <v>54430447.666666664</v>
      </c>
      <c r="U39" s="118">
        <v>54430447.666666664</v>
      </c>
      <c r="V39" s="118">
        <f t="shared" si="23"/>
        <v>653165372</v>
      </c>
      <c r="W39" s="64"/>
    </row>
    <row r="40" spans="1:23" s="17" customFormat="1" ht="13.5" x14ac:dyDescent="0.2">
      <c r="A40" s="154"/>
      <c r="B40" s="7" t="s">
        <v>75</v>
      </c>
      <c r="C40" s="176" t="s">
        <v>76</v>
      </c>
      <c r="D40" s="82">
        <v>462658805</v>
      </c>
      <c r="E40" s="112">
        <v>0</v>
      </c>
      <c r="F40" s="79">
        <v>0</v>
      </c>
      <c r="G40" s="79">
        <v>0</v>
      </c>
      <c r="H40" s="79">
        <v>0</v>
      </c>
      <c r="I40" s="79">
        <f t="shared" si="25"/>
        <v>462658805</v>
      </c>
      <c r="J40" s="118">
        <v>38554900.416666664</v>
      </c>
      <c r="K40" s="118">
        <v>38554900.416666664</v>
      </c>
      <c r="L40" s="118">
        <v>38554900.416666664</v>
      </c>
      <c r="M40" s="118">
        <v>38554900.416666664</v>
      </c>
      <c r="N40" s="118">
        <v>38554900.416666664</v>
      </c>
      <c r="O40" s="118">
        <v>38554900.416666664</v>
      </c>
      <c r="P40" s="118">
        <v>38554900.416666664</v>
      </c>
      <c r="Q40" s="118">
        <v>38554900.416666664</v>
      </c>
      <c r="R40" s="118">
        <v>38554900.416666664</v>
      </c>
      <c r="S40" s="118">
        <v>38554900.416666664</v>
      </c>
      <c r="T40" s="118">
        <v>38554900.416666664</v>
      </c>
      <c r="U40" s="118">
        <v>38554900.416666664</v>
      </c>
      <c r="V40" s="118">
        <f t="shared" si="23"/>
        <v>462658805.00000006</v>
      </c>
      <c r="W40" s="64"/>
    </row>
    <row r="41" spans="1:23" s="17" customFormat="1" ht="13.5" x14ac:dyDescent="0.2">
      <c r="A41" s="154"/>
      <c r="B41" s="7" t="s">
        <v>77</v>
      </c>
      <c r="C41" s="176" t="s">
        <v>78</v>
      </c>
      <c r="D41" s="82">
        <v>454263685</v>
      </c>
      <c r="E41" s="112">
        <v>0</v>
      </c>
      <c r="F41" s="79">
        <v>0</v>
      </c>
      <c r="G41" s="79">
        <v>0</v>
      </c>
      <c r="H41" s="79">
        <v>0</v>
      </c>
      <c r="I41" s="79">
        <f t="shared" si="25"/>
        <v>454263685</v>
      </c>
      <c r="J41" s="118">
        <v>37855307.083333336</v>
      </c>
      <c r="K41" s="118">
        <v>37855307.083333336</v>
      </c>
      <c r="L41" s="118">
        <v>37855307.083333336</v>
      </c>
      <c r="M41" s="118">
        <v>37855307.083333336</v>
      </c>
      <c r="N41" s="118">
        <v>37855307.083333336</v>
      </c>
      <c r="O41" s="118">
        <v>37855307.083333336</v>
      </c>
      <c r="P41" s="118">
        <v>37855307.083333336</v>
      </c>
      <c r="Q41" s="118">
        <v>37855307.083333336</v>
      </c>
      <c r="R41" s="118">
        <v>37855307.083333336</v>
      </c>
      <c r="S41" s="118">
        <v>37855307.083333336</v>
      </c>
      <c r="T41" s="118">
        <v>37855307.083333336</v>
      </c>
      <c r="U41" s="118">
        <v>37855307.083333336</v>
      </c>
      <c r="V41" s="118">
        <f t="shared" si="23"/>
        <v>454263684.99999994</v>
      </c>
      <c r="W41" s="64"/>
    </row>
    <row r="42" spans="1:23" s="17" customFormat="1" ht="13.5" x14ac:dyDescent="0.2">
      <c r="A42" s="154"/>
      <c r="B42" s="7" t="s">
        <v>79</v>
      </c>
      <c r="C42" s="176" t="s">
        <v>80</v>
      </c>
      <c r="D42" s="82">
        <v>244773871</v>
      </c>
      <c r="E42" s="112">
        <v>0</v>
      </c>
      <c r="F42" s="79">
        <v>0</v>
      </c>
      <c r="G42" s="79">
        <v>0</v>
      </c>
      <c r="H42" s="79">
        <v>0</v>
      </c>
      <c r="I42" s="79">
        <f t="shared" si="25"/>
        <v>244773871</v>
      </c>
      <c r="J42" s="118">
        <v>20397822.583333332</v>
      </c>
      <c r="K42" s="118">
        <v>20397822.583333332</v>
      </c>
      <c r="L42" s="118">
        <v>20397822.583333332</v>
      </c>
      <c r="M42" s="118">
        <v>20397822.583333332</v>
      </c>
      <c r="N42" s="118">
        <v>20397822.583333332</v>
      </c>
      <c r="O42" s="118">
        <v>20397822.583333332</v>
      </c>
      <c r="P42" s="118">
        <v>20397822.583333332</v>
      </c>
      <c r="Q42" s="118">
        <v>20397822.583333332</v>
      </c>
      <c r="R42" s="118">
        <v>20397822.583333332</v>
      </c>
      <c r="S42" s="118">
        <v>20397822.583333332</v>
      </c>
      <c r="T42" s="118">
        <v>20397822.583333332</v>
      </c>
      <c r="U42" s="118">
        <v>20397822.583333332</v>
      </c>
      <c r="V42" s="118">
        <f t="shared" si="23"/>
        <v>244773871.00000003</v>
      </c>
      <c r="W42" s="64"/>
    </row>
    <row r="43" spans="1:23" s="17" customFormat="1" ht="13.5" x14ac:dyDescent="0.2">
      <c r="A43" s="154"/>
      <c r="B43" s="7" t="s">
        <v>81</v>
      </c>
      <c r="C43" s="176" t="s">
        <v>82</v>
      </c>
      <c r="D43" s="82">
        <v>132592571</v>
      </c>
      <c r="E43" s="112">
        <v>0</v>
      </c>
      <c r="F43" s="79">
        <v>0</v>
      </c>
      <c r="G43" s="79">
        <v>0</v>
      </c>
      <c r="H43" s="79">
        <v>0</v>
      </c>
      <c r="I43" s="79">
        <f t="shared" si="25"/>
        <v>132592571</v>
      </c>
      <c r="J43" s="118">
        <v>11049380.916666666</v>
      </c>
      <c r="K43" s="118">
        <v>11049380.916666666</v>
      </c>
      <c r="L43" s="118">
        <v>11049380.916666666</v>
      </c>
      <c r="M43" s="118">
        <v>11049380.916666666</v>
      </c>
      <c r="N43" s="118">
        <v>11049380.916666666</v>
      </c>
      <c r="O43" s="118">
        <v>11049380.916666666</v>
      </c>
      <c r="P43" s="118">
        <v>11049380.916666666</v>
      </c>
      <c r="Q43" s="118">
        <v>11049380.916666666</v>
      </c>
      <c r="R43" s="118">
        <v>11049380.916666666</v>
      </c>
      <c r="S43" s="118">
        <v>11049380.916666666</v>
      </c>
      <c r="T43" s="118">
        <v>11049380.916666666</v>
      </c>
      <c r="U43" s="118">
        <v>11049380.916666666</v>
      </c>
      <c r="V43" s="118">
        <f t="shared" si="23"/>
        <v>132592571.00000001</v>
      </c>
      <c r="W43" s="64"/>
    </row>
    <row r="44" spans="1:23" s="17" customFormat="1" ht="13.5" x14ac:dyDescent="0.2">
      <c r="A44" s="154"/>
      <c r="B44" s="7" t="s">
        <v>83</v>
      </c>
      <c r="C44" s="176" t="s">
        <v>84</v>
      </c>
      <c r="D44" s="82">
        <v>183580403</v>
      </c>
      <c r="E44" s="112">
        <v>0</v>
      </c>
      <c r="F44" s="79">
        <v>0</v>
      </c>
      <c r="G44" s="79">
        <v>0</v>
      </c>
      <c r="H44" s="79">
        <v>0</v>
      </c>
      <c r="I44" s="79">
        <f t="shared" si="25"/>
        <v>183580403</v>
      </c>
      <c r="J44" s="118">
        <v>15298366.916666666</v>
      </c>
      <c r="K44" s="118">
        <v>15298366.916666666</v>
      </c>
      <c r="L44" s="118">
        <v>15298366.916666666</v>
      </c>
      <c r="M44" s="118">
        <v>15298366.916666666</v>
      </c>
      <c r="N44" s="118">
        <v>15298366.916666666</v>
      </c>
      <c r="O44" s="118">
        <v>15298366.916666666</v>
      </c>
      <c r="P44" s="118">
        <v>15298366.916666666</v>
      </c>
      <c r="Q44" s="118">
        <v>15298366.916666666</v>
      </c>
      <c r="R44" s="118">
        <v>15298366.916666666</v>
      </c>
      <c r="S44" s="118">
        <v>15298366.916666666</v>
      </c>
      <c r="T44" s="118">
        <v>15298366.916666666</v>
      </c>
      <c r="U44" s="118">
        <v>15298366.916666666</v>
      </c>
      <c r="V44" s="118">
        <f t="shared" si="23"/>
        <v>183580402.99999997</v>
      </c>
      <c r="W44" s="64"/>
    </row>
    <row r="45" spans="1:23" s="17" customFormat="1" ht="13.5" x14ac:dyDescent="0.2">
      <c r="A45" s="154"/>
      <c r="B45" s="7" t="s">
        <v>85</v>
      </c>
      <c r="C45" s="176" t="s">
        <v>86</v>
      </c>
      <c r="D45" s="82">
        <v>122386935</v>
      </c>
      <c r="E45" s="112">
        <v>0</v>
      </c>
      <c r="F45" s="79">
        <v>0</v>
      </c>
      <c r="G45" s="79">
        <v>0</v>
      </c>
      <c r="H45" s="79">
        <v>0</v>
      </c>
      <c r="I45" s="79">
        <f t="shared" si="25"/>
        <v>122386935</v>
      </c>
      <c r="J45" s="118">
        <v>10198911.25</v>
      </c>
      <c r="K45" s="118">
        <v>10198911.25</v>
      </c>
      <c r="L45" s="118">
        <v>10198911.25</v>
      </c>
      <c r="M45" s="118">
        <v>10198911.25</v>
      </c>
      <c r="N45" s="118">
        <v>10198911.25</v>
      </c>
      <c r="O45" s="118">
        <v>10198911.25</v>
      </c>
      <c r="P45" s="118">
        <v>10198911.25</v>
      </c>
      <c r="Q45" s="118">
        <v>10198911.25</v>
      </c>
      <c r="R45" s="118">
        <v>10198911.25</v>
      </c>
      <c r="S45" s="118">
        <v>10198911.25</v>
      </c>
      <c r="T45" s="118">
        <v>10198911.25</v>
      </c>
      <c r="U45" s="118">
        <v>10198911.25</v>
      </c>
      <c r="V45" s="118">
        <f t="shared" si="23"/>
        <v>122386935</v>
      </c>
      <c r="W45" s="64"/>
    </row>
    <row r="46" spans="1:23" s="17" customFormat="1" ht="25.5" x14ac:dyDescent="0.2">
      <c r="A46" s="154"/>
      <c r="B46" s="23" t="s">
        <v>87</v>
      </c>
      <c r="C46" s="5" t="s">
        <v>88</v>
      </c>
      <c r="D46" s="76">
        <f>SUM(D47:D48)</f>
        <v>257505524.62222588</v>
      </c>
      <c r="E46" s="76">
        <f>SUM(E47:E48)</f>
        <v>0</v>
      </c>
      <c r="F46" s="76">
        <f>SUM(F47:F48)</f>
        <v>0</v>
      </c>
      <c r="G46" s="76">
        <f>SUM(G47:G48)</f>
        <v>0</v>
      </c>
      <c r="H46" s="76">
        <f>SUM(H47:H48)</f>
        <v>0</v>
      </c>
      <c r="I46" s="76">
        <f>+D46+E46-F46+G46-H46</f>
        <v>257505524.62222588</v>
      </c>
      <c r="J46" s="76">
        <f t="shared" ref="J46:U46" si="26">SUM(J47:J48)</f>
        <v>21458793.718518827</v>
      </c>
      <c r="K46" s="76">
        <f t="shared" si="26"/>
        <v>21458793.718518827</v>
      </c>
      <c r="L46" s="76">
        <f t="shared" si="26"/>
        <v>21458793.718518827</v>
      </c>
      <c r="M46" s="76">
        <f t="shared" si="26"/>
        <v>21458793.718518827</v>
      </c>
      <c r="N46" s="76">
        <f t="shared" si="26"/>
        <v>21458793.718518827</v>
      </c>
      <c r="O46" s="76">
        <f t="shared" si="26"/>
        <v>21458793.718518827</v>
      </c>
      <c r="P46" s="76">
        <f t="shared" si="26"/>
        <v>21458793.718518827</v>
      </c>
      <c r="Q46" s="76">
        <f t="shared" si="26"/>
        <v>21458793.718518827</v>
      </c>
      <c r="R46" s="76">
        <f t="shared" si="26"/>
        <v>21458793.718518827</v>
      </c>
      <c r="S46" s="76">
        <f t="shared" si="26"/>
        <v>21458793.718518827</v>
      </c>
      <c r="T46" s="76">
        <f t="shared" si="26"/>
        <v>21458793.718518827</v>
      </c>
      <c r="U46" s="76">
        <f t="shared" si="26"/>
        <v>21458793.718518827</v>
      </c>
      <c r="V46" s="133">
        <f t="shared" si="23"/>
        <v>257505524.62222591</v>
      </c>
      <c r="W46" s="64"/>
    </row>
    <row r="47" spans="1:23" s="17" customFormat="1" ht="13.5" x14ac:dyDescent="0.2">
      <c r="A47" s="154"/>
      <c r="B47" s="7" t="s">
        <v>89</v>
      </c>
      <c r="C47" s="176" t="s">
        <v>90</v>
      </c>
      <c r="D47" s="82">
        <v>212650541.93446589</v>
      </c>
      <c r="E47" s="112">
        <v>0</v>
      </c>
      <c r="F47" s="79">
        <v>0</v>
      </c>
      <c r="G47" s="79">
        <v>0</v>
      </c>
      <c r="H47" s="79">
        <v>0</v>
      </c>
      <c r="I47" s="79">
        <f>+D47+E47-F47+G47-H47</f>
        <v>212650541.93446589</v>
      </c>
      <c r="J47" s="118">
        <v>17720878.494538825</v>
      </c>
      <c r="K47" s="118">
        <v>17720878.494538825</v>
      </c>
      <c r="L47" s="118">
        <v>17720878.494538825</v>
      </c>
      <c r="M47" s="118">
        <v>17720878.494538825</v>
      </c>
      <c r="N47" s="118">
        <v>17720878.494538825</v>
      </c>
      <c r="O47" s="118">
        <v>17720878.494538825</v>
      </c>
      <c r="P47" s="118">
        <v>17720878.494538825</v>
      </c>
      <c r="Q47" s="118">
        <v>17720878.494538825</v>
      </c>
      <c r="R47" s="118">
        <v>17720878.494538825</v>
      </c>
      <c r="S47" s="118">
        <v>17720878.494538825</v>
      </c>
      <c r="T47" s="118">
        <v>17720878.494538825</v>
      </c>
      <c r="U47" s="118">
        <v>17720878.494538825</v>
      </c>
      <c r="V47" s="118">
        <f t="shared" si="23"/>
        <v>212650541.93446586</v>
      </c>
      <c r="W47" s="64"/>
    </row>
    <row r="48" spans="1:23" s="17" customFormat="1" ht="13.5" x14ac:dyDescent="0.2">
      <c r="A48" s="154"/>
      <c r="B48" s="7" t="s">
        <v>91</v>
      </c>
      <c r="C48" s="176" t="s">
        <v>92</v>
      </c>
      <c r="D48" s="82">
        <v>44854982.68776001</v>
      </c>
      <c r="E48" s="112">
        <v>0</v>
      </c>
      <c r="F48" s="79">
        <v>0</v>
      </c>
      <c r="G48" s="79">
        <v>0</v>
      </c>
      <c r="H48" s="79">
        <v>0</v>
      </c>
      <c r="I48" s="79">
        <f>+D48+E48-F48+G48-H48</f>
        <v>44854982.68776001</v>
      </c>
      <c r="J48" s="118">
        <v>3737915.2239800007</v>
      </c>
      <c r="K48" s="118">
        <v>3737915.2239800007</v>
      </c>
      <c r="L48" s="118">
        <v>3737915.2239800007</v>
      </c>
      <c r="M48" s="118">
        <v>3737915.2239800007</v>
      </c>
      <c r="N48" s="118">
        <v>3737915.2239800007</v>
      </c>
      <c r="O48" s="118">
        <v>3737915.2239800007</v>
      </c>
      <c r="P48" s="118">
        <v>3737915.2239800007</v>
      </c>
      <c r="Q48" s="118">
        <v>3737915.2239800007</v>
      </c>
      <c r="R48" s="118">
        <v>3737915.2239800007</v>
      </c>
      <c r="S48" s="118">
        <v>3737915.2239800007</v>
      </c>
      <c r="T48" s="118">
        <v>3737915.2239800007</v>
      </c>
      <c r="U48" s="118">
        <v>3737915.2239800007</v>
      </c>
      <c r="V48" s="118">
        <f t="shared" si="23"/>
        <v>44854982.687760018</v>
      </c>
      <c r="W48" s="64"/>
    </row>
    <row r="49" spans="1:23" s="12" customFormat="1" x14ac:dyDescent="0.2">
      <c r="A49" s="154"/>
      <c r="B49" s="24" t="s">
        <v>93</v>
      </c>
      <c r="C49" s="27" t="s">
        <v>105</v>
      </c>
      <c r="D49" s="74">
        <f>+D50+D54+D57</f>
        <v>3273372185.4499998</v>
      </c>
      <c r="E49" s="74">
        <f>+E50+E54+E57</f>
        <v>0</v>
      </c>
      <c r="F49" s="74">
        <f>+F50+F54+F57</f>
        <v>0</v>
      </c>
      <c r="G49" s="74">
        <f>+G50+G54+G57</f>
        <v>0</v>
      </c>
      <c r="H49" s="74">
        <f>+H50+H54+H57</f>
        <v>0</v>
      </c>
      <c r="I49" s="74">
        <f t="shared" ref="I49:I66" si="27">+D49+E49-F49+G49-H49</f>
        <v>3273372185.4499998</v>
      </c>
      <c r="J49" s="74">
        <f>+J50+J54+J57</f>
        <v>20000000</v>
      </c>
      <c r="K49" s="74">
        <f t="shared" ref="K49:U49" si="28">+K50+K54+K57</f>
        <v>182762181.81999999</v>
      </c>
      <c r="L49" s="74">
        <f t="shared" si="28"/>
        <v>434581000.12</v>
      </c>
      <c r="M49" s="74">
        <f t="shared" si="28"/>
        <v>213061000.12</v>
      </c>
      <c r="N49" s="74">
        <f t="shared" si="28"/>
        <v>321541000.12</v>
      </c>
      <c r="O49" s="74">
        <f t="shared" si="28"/>
        <v>198061000.12</v>
      </c>
      <c r="P49" s="74">
        <f t="shared" si="28"/>
        <v>188061000.12</v>
      </c>
      <c r="Q49" s="74">
        <f t="shared" si="28"/>
        <v>228061000.12</v>
      </c>
      <c r="R49" s="74">
        <f t="shared" si="28"/>
        <v>943061000.12</v>
      </c>
      <c r="S49" s="74">
        <f t="shared" si="28"/>
        <v>178061000.12</v>
      </c>
      <c r="T49" s="74">
        <f t="shared" si="28"/>
        <v>188061000.12</v>
      </c>
      <c r="U49" s="74">
        <f t="shared" si="28"/>
        <v>178061002.56</v>
      </c>
      <c r="V49" s="135">
        <f t="shared" si="23"/>
        <v>3273372185.4599996</v>
      </c>
      <c r="W49" s="64"/>
    </row>
    <row r="50" spans="1:23" s="17" customFormat="1" x14ac:dyDescent="0.2">
      <c r="A50" s="154"/>
      <c r="B50" s="23" t="s">
        <v>94</v>
      </c>
      <c r="C50" s="5" t="s">
        <v>95</v>
      </c>
      <c r="D50" s="76">
        <f>+D51+D52+D53</f>
        <v>790000000</v>
      </c>
      <c r="E50" s="76">
        <f t="shared" ref="E50:I50" si="29">+E51+E52+E53</f>
        <v>0</v>
      </c>
      <c r="F50" s="76">
        <f t="shared" si="29"/>
        <v>0</v>
      </c>
      <c r="G50" s="76">
        <f t="shared" si="29"/>
        <v>0</v>
      </c>
      <c r="H50" s="76">
        <f t="shared" si="29"/>
        <v>0</v>
      </c>
      <c r="I50" s="76">
        <f t="shared" si="29"/>
        <v>790000000</v>
      </c>
      <c r="J50" s="76">
        <f>J51+J52+J53</f>
        <v>0</v>
      </c>
      <c r="K50" s="76">
        <f t="shared" ref="K50:U50" si="30">K51+K52+K53</f>
        <v>0</v>
      </c>
      <c r="L50" s="76">
        <f t="shared" si="30"/>
        <v>0</v>
      </c>
      <c r="M50" s="76">
        <f t="shared" si="30"/>
        <v>0</v>
      </c>
      <c r="N50" s="76">
        <f t="shared" si="30"/>
        <v>40000000</v>
      </c>
      <c r="O50" s="76">
        <f t="shared" si="30"/>
        <v>0</v>
      </c>
      <c r="P50" s="76">
        <f t="shared" si="30"/>
        <v>0</v>
      </c>
      <c r="Q50" s="76">
        <f t="shared" si="30"/>
        <v>0</v>
      </c>
      <c r="R50" s="76">
        <f t="shared" si="30"/>
        <v>750000000</v>
      </c>
      <c r="S50" s="76">
        <f t="shared" si="30"/>
        <v>0</v>
      </c>
      <c r="T50" s="76">
        <f t="shared" si="30"/>
        <v>0</v>
      </c>
      <c r="U50" s="76">
        <f t="shared" si="30"/>
        <v>0</v>
      </c>
      <c r="V50" s="76">
        <f t="shared" ref="V50" si="31">V51+V52+V53</f>
        <v>790000000</v>
      </c>
      <c r="W50" s="64"/>
    </row>
    <row r="51" spans="1:23" s="17" customFormat="1" ht="25.5" x14ac:dyDescent="0.2">
      <c r="A51" s="154"/>
      <c r="B51" s="7" t="s">
        <v>117</v>
      </c>
      <c r="C51" s="176" t="s">
        <v>118</v>
      </c>
      <c r="D51" s="82">
        <v>40000000</v>
      </c>
      <c r="E51" s="79">
        <v>0</v>
      </c>
      <c r="F51" s="79">
        <v>0</v>
      </c>
      <c r="G51" s="79">
        <v>0</v>
      </c>
      <c r="H51" s="79">
        <v>0</v>
      </c>
      <c r="I51" s="79">
        <f t="shared" si="27"/>
        <v>40000000</v>
      </c>
      <c r="J51" s="118">
        <v>0</v>
      </c>
      <c r="K51" s="118">
        <v>0</v>
      </c>
      <c r="L51" s="118">
        <v>0</v>
      </c>
      <c r="M51" s="118">
        <v>0</v>
      </c>
      <c r="N51" s="118">
        <v>40000000</v>
      </c>
      <c r="O51" s="118">
        <v>0</v>
      </c>
      <c r="P51" s="118">
        <v>0</v>
      </c>
      <c r="Q51" s="118">
        <v>0</v>
      </c>
      <c r="R51" s="118">
        <v>0</v>
      </c>
      <c r="S51" s="118">
        <v>0</v>
      </c>
      <c r="T51" s="118">
        <v>0</v>
      </c>
      <c r="U51" s="118">
        <v>0</v>
      </c>
      <c r="V51" s="118">
        <f t="shared" si="23"/>
        <v>40000000</v>
      </c>
      <c r="W51" s="64"/>
    </row>
    <row r="52" spans="1:23" s="17" customFormat="1" ht="25.5" x14ac:dyDescent="0.2">
      <c r="A52" s="154"/>
      <c r="B52" s="92" t="s">
        <v>204</v>
      </c>
      <c r="C52" s="176" t="s">
        <v>118</v>
      </c>
      <c r="D52" s="82">
        <v>350000000</v>
      </c>
      <c r="E52" s="79">
        <v>0</v>
      </c>
      <c r="F52" s="79">
        <v>0</v>
      </c>
      <c r="G52" s="79">
        <v>0</v>
      </c>
      <c r="H52" s="79">
        <v>0</v>
      </c>
      <c r="I52" s="79">
        <f t="shared" ref="I52:I53" si="32">+D52+E52-F52+G52-H52</f>
        <v>350000000</v>
      </c>
      <c r="J52" s="118">
        <v>0</v>
      </c>
      <c r="K52" s="118">
        <v>0</v>
      </c>
      <c r="L52" s="118">
        <v>0</v>
      </c>
      <c r="M52" s="118">
        <v>0</v>
      </c>
      <c r="N52" s="118">
        <v>0</v>
      </c>
      <c r="O52" s="118">
        <v>0</v>
      </c>
      <c r="P52" s="118">
        <v>0</v>
      </c>
      <c r="Q52" s="118">
        <v>0</v>
      </c>
      <c r="R52" s="118">
        <v>350000000</v>
      </c>
      <c r="S52" s="118">
        <v>0</v>
      </c>
      <c r="T52" s="118">
        <v>0</v>
      </c>
      <c r="U52" s="118"/>
      <c r="V52" s="118">
        <f t="shared" ref="V52:V53" si="33">SUM(J52:U52)</f>
        <v>350000000</v>
      </c>
      <c r="W52" s="64"/>
    </row>
    <row r="53" spans="1:23" s="17" customFormat="1" ht="27" x14ac:dyDescent="0.2">
      <c r="A53" s="154"/>
      <c r="B53" s="97" t="s">
        <v>205</v>
      </c>
      <c r="C53" s="177" t="s">
        <v>206</v>
      </c>
      <c r="D53" s="82">
        <v>400000000</v>
      </c>
      <c r="E53" s="79">
        <v>0</v>
      </c>
      <c r="F53" s="79">
        <v>0</v>
      </c>
      <c r="G53" s="79">
        <v>0</v>
      </c>
      <c r="H53" s="79">
        <v>0</v>
      </c>
      <c r="I53" s="79">
        <f t="shared" si="32"/>
        <v>400000000</v>
      </c>
      <c r="J53" s="118">
        <v>0</v>
      </c>
      <c r="K53" s="118">
        <v>0</v>
      </c>
      <c r="L53" s="118">
        <v>0</v>
      </c>
      <c r="M53" s="118">
        <v>0</v>
      </c>
      <c r="N53" s="118">
        <v>0</v>
      </c>
      <c r="O53" s="118">
        <v>0</v>
      </c>
      <c r="P53" s="118">
        <v>0</v>
      </c>
      <c r="Q53" s="118">
        <v>0</v>
      </c>
      <c r="R53" s="118">
        <v>400000000</v>
      </c>
      <c r="S53" s="118">
        <v>0</v>
      </c>
      <c r="T53" s="118">
        <v>0</v>
      </c>
      <c r="U53" s="118">
        <v>0</v>
      </c>
      <c r="V53" s="118">
        <f t="shared" si="33"/>
        <v>400000000</v>
      </c>
      <c r="W53" s="64"/>
    </row>
    <row r="54" spans="1:23" s="17" customFormat="1" x14ac:dyDescent="0.2">
      <c r="A54" s="154"/>
      <c r="B54" s="23" t="s">
        <v>97</v>
      </c>
      <c r="C54" s="5" t="s">
        <v>98</v>
      </c>
      <c r="D54" s="76">
        <f>SUM(D55+D56)</f>
        <v>158464000</v>
      </c>
      <c r="E54" s="76">
        <f t="shared" ref="E54:I54" si="34">SUM(E55+E56)</f>
        <v>0</v>
      </c>
      <c r="F54" s="76">
        <f t="shared" si="34"/>
        <v>0</v>
      </c>
      <c r="G54" s="76">
        <f t="shared" si="34"/>
        <v>0</v>
      </c>
      <c r="H54" s="76">
        <f t="shared" si="34"/>
        <v>0</v>
      </c>
      <c r="I54" s="76">
        <f t="shared" si="34"/>
        <v>158464000</v>
      </c>
      <c r="J54" s="76">
        <f>J55+J56</f>
        <v>20000000</v>
      </c>
      <c r="K54" s="76">
        <f t="shared" ref="K54:U54" si="35">K55+K56</f>
        <v>20944000</v>
      </c>
      <c r="L54" s="76">
        <f t="shared" si="35"/>
        <v>102520000</v>
      </c>
      <c r="M54" s="76">
        <f t="shared" si="35"/>
        <v>15000000</v>
      </c>
      <c r="N54" s="76">
        <f t="shared" si="35"/>
        <v>0</v>
      </c>
      <c r="O54" s="76">
        <f t="shared" si="35"/>
        <v>0</v>
      </c>
      <c r="P54" s="76">
        <f t="shared" si="35"/>
        <v>0</v>
      </c>
      <c r="Q54" s="76">
        <f t="shared" si="35"/>
        <v>0</v>
      </c>
      <c r="R54" s="76">
        <f t="shared" si="35"/>
        <v>0</v>
      </c>
      <c r="S54" s="76">
        <f t="shared" si="35"/>
        <v>0</v>
      </c>
      <c r="T54" s="76">
        <f t="shared" si="35"/>
        <v>0</v>
      </c>
      <c r="U54" s="76">
        <f t="shared" si="35"/>
        <v>0</v>
      </c>
      <c r="V54" s="133">
        <f t="shared" si="23"/>
        <v>158464000</v>
      </c>
      <c r="W54" s="64"/>
    </row>
    <row r="55" spans="1:23" s="17" customFormat="1" ht="25.5" x14ac:dyDescent="0.2">
      <c r="A55" s="154"/>
      <c r="B55" s="7" t="s">
        <v>111</v>
      </c>
      <c r="C55" s="176" t="s">
        <v>96</v>
      </c>
      <c r="D55" s="82">
        <v>143464000</v>
      </c>
      <c r="E55" s="112">
        <v>0</v>
      </c>
      <c r="F55" s="79">
        <v>0</v>
      </c>
      <c r="G55" s="79">
        <v>0</v>
      </c>
      <c r="H55" s="79">
        <v>0</v>
      </c>
      <c r="I55" s="79">
        <f>+D55+E55-F55+G55-H55</f>
        <v>143464000</v>
      </c>
      <c r="J55" s="118">
        <v>20000000</v>
      </c>
      <c r="K55" s="118">
        <v>20944000</v>
      </c>
      <c r="L55" s="118">
        <v>102520000</v>
      </c>
      <c r="M55" s="118">
        <v>0</v>
      </c>
      <c r="N55" s="118">
        <v>0</v>
      </c>
      <c r="O55" s="118">
        <v>0</v>
      </c>
      <c r="P55" s="118">
        <v>0</v>
      </c>
      <c r="Q55" s="118">
        <v>0</v>
      </c>
      <c r="R55" s="118">
        <v>0</v>
      </c>
      <c r="S55" s="118">
        <v>0</v>
      </c>
      <c r="T55" s="118">
        <v>0</v>
      </c>
      <c r="U55" s="118">
        <v>0</v>
      </c>
      <c r="V55" s="118">
        <f t="shared" si="23"/>
        <v>143464000</v>
      </c>
      <c r="W55" s="64"/>
    </row>
    <row r="56" spans="1:23" s="17" customFormat="1" ht="25.5" x14ac:dyDescent="0.2">
      <c r="A56" s="154"/>
      <c r="B56" s="92" t="s">
        <v>207</v>
      </c>
      <c r="C56" s="176" t="s">
        <v>96</v>
      </c>
      <c r="D56" s="82">
        <v>15000000</v>
      </c>
      <c r="E56" s="112">
        <v>0</v>
      </c>
      <c r="F56" s="79">
        <v>0</v>
      </c>
      <c r="G56" s="79">
        <v>0</v>
      </c>
      <c r="H56" s="79">
        <v>0</v>
      </c>
      <c r="I56" s="79">
        <f>+D56+E56-F56+G56-H56</f>
        <v>15000000</v>
      </c>
      <c r="J56" s="118">
        <v>0</v>
      </c>
      <c r="K56" s="118">
        <v>0</v>
      </c>
      <c r="L56" s="118">
        <v>0</v>
      </c>
      <c r="M56" s="123">
        <v>15000000</v>
      </c>
      <c r="N56" s="118">
        <v>0</v>
      </c>
      <c r="O56" s="118">
        <v>0</v>
      </c>
      <c r="P56" s="118">
        <v>0</v>
      </c>
      <c r="Q56" s="118">
        <v>0</v>
      </c>
      <c r="R56" s="118">
        <v>0</v>
      </c>
      <c r="S56" s="118">
        <v>0</v>
      </c>
      <c r="T56" s="118">
        <v>0</v>
      </c>
      <c r="U56" s="118">
        <v>0</v>
      </c>
      <c r="V56" s="118">
        <f t="shared" ref="V56" si="36">SUM(J56:U56)</f>
        <v>15000000</v>
      </c>
      <c r="W56" s="64"/>
    </row>
    <row r="57" spans="1:23" s="12" customFormat="1" x14ac:dyDescent="0.2">
      <c r="A57" s="154"/>
      <c r="B57" s="23" t="s">
        <v>99</v>
      </c>
      <c r="C57" s="5" t="s">
        <v>100</v>
      </c>
      <c r="D57" s="76">
        <f>SUM(D58:D64)</f>
        <v>2324908185.4499998</v>
      </c>
      <c r="E57" s="76">
        <f t="shared" ref="E57:I57" si="37">SUM(E58:E64)</f>
        <v>0</v>
      </c>
      <c r="F57" s="76">
        <f t="shared" si="37"/>
        <v>0</v>
      </c>
      <c r="G57" s="76">
        <f t="shared" si="37"/>
        <v>0</v>
      </c>
      <c r="H57" s="76">
        <f t="shared" si="37"/>
        <v>0</v>
      </c>
      <c r="I57" s="76">
        <f t="shared" si="37"/>
        <v>2324908185.4499998</v>
      </c>
      <c r="J57" s="76">
        <f>J58+J59+J60+J61+J62+J63+J64</f>
        <v>0</v>
      </c>
      <c r="K57" s="76">
        <f t="shared" ref="K57:U57" si="38">K58+K59+K60+K61+K62+K63+K64</f>
        <v>161818181.81999999</v>
      </c>
      <c r="L57" s="76">
        <f t="shared" si="38"/>
        <v>332061000.12</v>
      </c>
      <c r="M57" s="76">
        <f t="shared" si="38"/>
        <v>198061000.12</v>
      </c>
      <c r="N57" s="76">
        <f t="shared" si="38"/>
        <v>281541000.12</v>
      </c>
      <c r="O57" s="76">
        <f t="shared" si="38"/>
        <v>198061000.12</v>
      </c>
      <c r="P57" s="76">
        <f t="shared" si="38"/>
        <v>188061000.12</v>
      </c>
      <c r="Q57" s="76">
        <f t="shared" si="38"/>
        <v>228061000.12</v>
      </c>
      <c r="R57" s="76">
        <f t="shared" si="38"/>
        <v>193061000.12</v>
      </c>
      <c r="S57" s="76">
        <f t="shared" si="38"/>
        <v>178061000.12</v>
      </c>
      <c r="T57" s="76">
        <f t="shared" si="38"/>
        <v>188061000.12</v>
      </c>
      <c r="U57" s="76">
        <f t="shared" si="38"/>
        <v>178061002.56</v>
      </c>
      <c r="V57" s="136">
        <f t="shared" si="23"/>
        <v>2324908185.4599996</v>
      </c>
      <c r="W57" s="64"/>
    </row>
    <row r="58" spans="1:23" s="17" customFormat="1" ht="38.25" x14ac:dyDescent="0.2">
      <c r="A58" s="154"/>
      <c r="B58" s="7" t="s">
        <v>119</v>
      </c>
      <c r="C58" s="6" t="s">
        <v>112</v>
      </c>
      <c r="D58" s="79">
        <v>0</v>
      </c>
      <c r="E58" s="79">
        <v>0</v>
      </c>
      <c r="F58" s="79">
        <v>0</v>
      </c>
      <c r="G58" s="79">
        <v>0</v>
      </c>
      <c r="H58" s="79">
        <v>0</v>
      </c>
      <c r="I58" s="79">
        <f t="shared" si="27"/>
        <v>0</v>
      </c>
      <c r="J58" s="118">
        <v>0</v>
      </c>
      <c r="K58" s="118">
        <v>0</v>
      </c>
      <c r="L58" s="118">
        <v>0</v>
      </c>
      <c r="M58" s="118">
        <v>0</v>
      </c>
      <c r="N58" s="118">
        <v>0</v>
      </c>
      <c r="O58" s="118">
        <v>0</v>
      </c>
      <c r="P58" s="118">
        <v>0</v>
      </c>
      <c r="Q58" s="118">
        <v>0</v>
      </c>
      <c r="R58" s="118">
        <v>0</v>
      </c>
      <c r="S58" s="118">
        <v>0</v>
      </c>
      <c r="T58" s="118">
        <v>0</v>
      </c>
      <c r="U58" s="118">
        <v>0</v>
      </c>
      <c r="V58" s="118">
        <f t="shared" si="23"/>
        <v>0</v>
      </c>
      <c r="W58" s="64"/>
    </row>
    <row r="59" spans="1:23" s="17" customFormat="1" ht="25.5" x14ac:dyDescent="0.2">
      <c r="A59" s="154"/>
      <c r="B59" s="7" t="s">
        <v>113</v>
      </c>
      <c r="C59" s="6" t="s">
        <v>101</v>
      </c>
      <c r="D59" s="79">
        <v>892000000</v>
      </c>
      <c r="E59" s="79">
        <v>0</v>
      </c>
      <c r="F59" s="79">
        <v>0</v>
      </c>
      <c r="G59" s="79">
        <v>0</v>
      </c>
      <c r="H59" s="79">
        <v>0</v>
      </c>
      <c r="I59" s="79">
        <f t="shared" si="27"/>
        <v>892000000</v>
      </c>
      <c r="J59" s="118">
        <v>0</v>
      </c>
      <c r="K59" s="118">
        <v>80909090.909999996</v>
      </c>
      <c r="L59" s="118">
        <v>142909090.91</v>
      </c>
      <c r="M59" s="118">
        <v>80909090.909999996</v>
      </c>
      <c r="N59" s="118">
        <v>80909090.909999996</v>
      </c>
      <c r="O59" s="118">
        <v>80909090.909999996</v>
      </c>
      <c r="P59" s="118">
        <v>70909090.909999996</v>
      </c>
      <c r="Q59" s="118">
        <v>70909090.909999996</v>
      </c>
      <c r="R59" s="118">
        <v>70909090.909999996</v>
      </c>
      <c r="S59" s="118">
        <v>70909090.909999996</v>
      </c>
      <c r="T59" s="118">
        <v>70909090.909999996</v>
      </c>
      <c r="U59" s="118">
        <v>70909090.909999996</v>
      </c>
      <c r="V59" s="118">
        <f t="shared" si="23"/>
        <v>892000000.00999975</v>
      </c>
      <c r="W59" s="64"/>
    </row>
    <row r="60" spans="1:23" s="17" customFormat="1" ht="25.5" x14ac:dyDescent="0.2">
      <c r="A60" s="154"/>
      <c r="B60" s="92" t="s">
        <v>208</v>
      </c>
      <c r="C60" s="6" t="s">
        <v>101</v>
      </c>
      <c r="D60" s="79">
        <v>100000000</v>
      </c>
      <c r="E60" s="79">
        <v>0</v>
      </c>
      <c r="F60" s="79">
        <v>0</v>
      </c>
      <c r="G60" s="79">
        <v>0</v>
      </c>
      <c r="H60" s="79">
        <v>0</v>
      </c>
      <c r="I60" s="79">
        <f t="shared" ref="I60" si="39">+D60+E60-F60+G60-H60</f>
        <v>100000000</v>
      </c>
      <c r="J60" s="118">
        <v>0</v>
      </c>
      <c r="K60" s="118">
        <v>0</v>
      </c>
      <c r="L60" s="118">
        <v>0</v>
      </c>
      <c r="M60" s="118">
        <v>0</v>
      </c>
      <c r="N60" s="118">
        <v>50000000</v>
      </c>
      <c r="O60" s="118">
        <v>0</v>
      </c>
      <c r="P60" s="118">
        <v>0</v>
      </c>
      <c r="Q60" s="118">
        <v>50000000</v>
      </c>
      <c r="R60" s="118">
        <v>0</v>
      </c>
      <c r="S60" s="118">
        <v>0</v>
      </c>
      <c r="T60" s="118">
        <v>0</v>
      </c>
      <c r="U60" s="118">
        <v>0</v>
      </c>
      <c r="V60" s="118">
        <f t="shared" ref="V60" si="40">SUM(J60:U60)</f>
        <v>100000000</v>
      </c>
      <c r="W60" s="64"/>
    </row>
    <row r="61" spans="1:23" s="17" customFormat="1" ht="25.5" x14ac:dyDescent="0.2">
      <c r="A61" s="154"/>
      <c r="B61" s="7" t="s">
        <v>114</v>
      </c>
      <c r="C61" s="6" t="s">
        <v>102</v>
      </c>
      <c r="D61" s="79">
        <v>958798392.54999995</v>
      </c>
      <c r="E61" s="79">
        <v>0</v>
      </c>
      <c r="F61" s="79">
        <v>0</v>
      </c>
      <c r="G61" s="79">
        <v>0</v>
      </c>
      <c r="H61" s="79">
        <v>0</v>
      </c>
      <c r="I61" s="79">
        <f t="shared" si="27"/>
        <v>958798392.54999995</v>
      </c>
      <c r="J61" s="118">
        <v>0</v>
      </c>
      <c r="K61" s="118">
        <v>80909090.909999996</v>
      </c>
      <c r="L61" s="118">
        <f>142909090.91+6679839</f>
        <v>149588929.91</v>
      </c>
      <c r="M61" s="118">
        <f>80909090.91+6679839</f>
        <v>87588929.909999996</v>
      </c>
      <c r="N61" s="118">
        <f>80909090.91+6679839</f>
        <v>87588929.909999996</v>
      </c>
      <c r="O61" s="118">
        <f>80909090.91+6679839</f>
        <v>87588929.909999996</v>
      </c>
      <c r="P61" s="118">
        <f>70909090.91+6679839</f>
        <v>77588929.909999996</v>
      </c>
      <c r="Q61" s="118">
        <f>70909090.91+6679839</f>
        <v>77588929.909999996</v>
      </c>
      <c r="R61" s="118">
        <f>70909090.91+6679839</f>
        <v>77588929.909999996</v>
      </c>
      <c r="S61" s="118">
        <f>70909090.91+6679839</f>
        <v>77588929.909999996</v>
      </c>
      <c r="T61" s="118">
        <f>70909090.91+6679839</f>
        <v>77588929.909999996</v>
      </c>
      <c r="U61" s="118">
        <f>70909090.91+6679841.54</f>
        <v>77588932.450000003</v>
      </c>
      <c r="V61" s="118">
        <f t="shared" si="23"/>
        <v>958798392.54999983</v>
      </c>
      <c r="W61" s="64"/>
    </row>
    <row r="62" spans="1:23" s="17" customFormat="1" ht="25.5" x14ac:dyDescent="0.2">
      <c r="A62" s="154"/>
      <c r="B62" s="92" t="s">
        <v>190</v>
      </c>
      <c r="C62" s="6" t="s">
        <v>102</v>
      </c>
      <c r="D62" s="79">
        <v>295629792.89999998</v>
      </c>
      <c r="E62" s="79">
        <v>0</v>
      </c>
      <c r="F62" s="79">
        <v>0</v>
      </c>
      <c r="G62" s="79">
        <v>0</v>
      </c>
      <c r="H62" s="79">
        <v>0</v>
      </c>
      <c r="I62" s="79">
        <f t="shared" ref="I62" si="41">+D62+E62-F62+G62-H62</f>
        <v>295629792.89999998</v>
      </c>
      <c r="J62" s="118">
        <v>0</v>
      </c>
      <c r="K62" s="118">
        <v>0</v>
      </c>
      <c r="L62" s="118">
        <v>29562979.300000001</v>
      </c>
      <c r="M62" s="118">
        <v>29562979.300000001</v>
      </c>
      <c r="N62" s="118">
        <v>29562979.300000001</v>
      </c>
      <c r="O62" s="118">
        <v>29562979.300000001</v>
      </c>
      <c r="P62" s="118">
        <v>29562979.300000001</v>
      </c>
      <c r="Q62" s="118">
        <v>29562979.300000001</v>
      </c>
      <c r="R62" s="118">
        <v>29562979.300000001</v>
      </c>
      <c r="S62" s="118">
        <v>29562979.300000001</v>
      </c>
      <c r="T62" s="118">
        <v>29562979.300000001</v>
      </c>
      <c r="U62" s="118">
        <v>29562979.199999999</v>
      </c>
      <c r="V62" s="118">
        <f t="shared" ref="V62" si="42">SUM(J62:U62)</f>
        <v>295629792.90000004</v>
      </c>
      <c r="W62" s="64"/>
    </row>
    <row r="63" spans="1:23" s="17" customFormat="1" x14ac:dyDescent="0.2">
      <c r="A63" s="154"/>
      <c r="B63" s="7" t="s">
        <v>120</v>
      </c>
      <c r="C63" s="6" t="s">
        <v>57</v>
      </c>
      <c r="D63" s="79">
        <v>18480000</v>
      </c>
      <c r="E63" s="79">
        <v>0</v>
      </c>
      <c r="F63" s="79">
        <v>0</v>
      </c>
      <c r="G63" s="79">
        <v>0</v>
      </c>
      <c r="H63" s="79">
        <v>0</v>
      </c>
      <c r="I63" s="79">
        <f t="shared" si="27"/>
        <v>18480000</v>
      </c>
      <c r="J63" s="118">
        <v>0</v>
      </c>
      <c r="K63" s="118">
        <v>0</v>
      </c>
      <c r="L63" s="118">
        <v>0</v>
      </c>
      <c r="M63" s="118">
        <v>0</v>
      </c>
      <c r="N63" s="118">
        <v>18480000</v>
      </c>
      <c r="O63" s="118">
        <v>0</v>
      </c>
      <c r="P63" s="118">
        <v>0</v>
      </c>
      <c r="Q63" s="118">
        <v>0</v>
      </c>
      <c r="R63" s="118">
        <v>0</v>
      </c>
      <c r="S63" s="118">
        <v>0</v>
      </c>
      <c r="T63" s="118">
        <v>0</v>
      </c>
      <c r="U63" s="118">
        <v>0</v>
      </c>
      <c r="V63" s="118">
        <f t="shared" si="23"/>
        <v>18480000</v>
      </c>
      <c r="W63" s="64"/>
    </row>
    <row r="64" spans="1:23" s="17" customFormat="1" x14ac:dyDescent="0.2">
      <c r="A64" s="154"/>
      <c r="B64" s="7" t="s">
        <v>209</v>
      </c>
      <c r="C64" s="6" t="s">
        <v>210</v>
      </c>
      <c r="D64" s="79">
        <v>60000000</v>
      </c>
      <c r="E64" s="79">
        <v>0</v>
      </c>
      <c r="F64" s="79">
        <v>0</v>
      </c>
      <c r="G64" s="79">
        <v>0</v>
      </c>
      <c r="H64" s="79">
        <v>0</v>
      </c>
      <c r="I64" s="79">
        <f t="shared" si="27"/>
        <v>60000000</v>
      </c>
      <c r="J64" s="118"/>
      <c r="K64" s="118"/>
      <c r="L64" s="118">
        <v>10000000</v>
      </c>
      <c r="M64" s="118"/>
      <c r="N64" s="118">
        <v>15000000</v>
      </c>
      <c r="O64" s="118"/>
      <c r="P64" s="118">
        <v>10000000</v>
      </c>
      <c r="Q64" s="118"/>
      <c r="R64" s="118">
        <v>15000000</v>
      </c>
      <c r="S64" s="118"/>
      <c r="T64" s="118">
        <v>10000000</v>
      </c>
      <c r="U64" s="118"/>
      <c r="V64" s="118">
        <f t="shared" si="23"/>
        <v>60000000</v>
      </c>
      <c r="W64" s="64"/>
    </row>
    <row r="65" spans="1:66" s="12" customFormat="1" x14ac:dyDescent="0.2">
      <c r="A65" s="154"/>
      <c r="B65" s="24" t="s">
        <v>124</v>
      </c>
      <c r="C65" s="27" t="s">
        <v>125</v>
      </c>
      <c r="D65" s="74">
        <f>D66</f>
        <v>300000000</v>
      </c>
      <c r="E65" s="74">
        <v>0</v>
      </c>
      <c r="F65" s="74">
        <f>F66</f>
        <v>0</v>
      </c>
      <c r="G65" s="74">
        <f>G66</f>
        <v>0</v>
      </c>
      <c r="H65" s="74">
        <f>H66</f>
        <v>0</v>
      </c>
      <c r="I65" s="74">
        <f t="shared" si="27"/>
        <v>300000000</v>
      </c>
      <c r="J65" s="74">
        <f>+J66</f>
        <v>0</v>
      </c>
      <c r="K65" s="74">
        <f t="shared" ref="K65:U65" si="43">+K66</f>
        <v>0</v>
      </c>
      <c r="L65" s="74">
        <f t="shared" si="43"/>
        <v>0</v>
      </c>
      <c r="M65" s="74">
        <f t="shared" si="43"/>
        <v>0</v>
      </c>
      <c r="N65" s="74">
        <f t="shared" si="43"/>
        <v>0</v>
      </c>
      <c r="O65" s="74">
        <f t="shared" si="43"/>
        <v>0</v>
      </c>
      <c r="P65" s="74">
        <f t="shared" si="43"/>
        <v>0</v>
      </c>
      <c r="Q65" s="74">
        <f t="shared" si="43"/>
        <v>0</v>
      </c>
      <c r="R65" s="74">
        <f t="shared" si="43"/>
        <v>150000000</v>
      </c>
      <c r="S65" s="74">
        <f t="shared" si="43"/>
        <v>0</v>
      </c>
      <c r="T65" s="74">
        <f t="shared" si="43"/>
        <v>0</v>
      </c>
      <c r="U65" s="74">
        <f t="shared" si="43"/>
        <v>150000000</v>
      </c>
      <c r="V65" s="135">
        <f t="shared" si="23"/>
        <v>300000000</v>
      </c>
      <c r="W65" s="64"/>
    </row>
    <row r="66" spans="1:66" s="12" customFormat="1" x14ac:dyDescent="0.2">
      <c r="A66" s="154"/>
      <c r="B66" s="7" t="s">
        <v>126</v>
      </c>
      <c r="C66" s="6" t="s">
        <v>127</v>
      </c>
      <c r="D66" s="79">
        <v>300000000</v>
      </c>
      <c r="E66" s="72">
        <v>0</v>
      </c>
      <c r="F66" s="72">
        <v>0</v>
      </c>
      <c r="G66" s="72">
        <v>0</v>
      </c>
      <c r="H66" s="72">
        <v>0</v>
      </c>
      <c r="I66" s="95">
        <f t="shared" si="27"/>
        <v>300000000</v>
      </c>
      <c r="J66" s="72">
        <v>0</v>
      </c>
      <c r="K66" s="72">
        <v>0</v>
      </c>
      <c r="L66" s="72">
        <v>0</v>
      </c>
      <c r="M66" s="72">
        <v>0</v>
      </c>
      <c r="N66" s="72">
        <v>0</v>
      </c>
      <c r="O66" s="79"/>
      <c r="P66" s="79"/>
      <c r="Q66" s="72">
        <v>0</v>
      </c>
      <c r="R66" s="95">
        <v>150000000</v>
      </c>
      <c r="S66" s="72"/>
      <c r="T66" s="72">
        <v>0</v>
      </c>
      <c r="U66" s="95">
        <v>150000000</v>
      </c>
      <c r="V66" s="118">
        <f t="shared" si="23"/>
        <v>300000000</v>
      </c>
      <c r="W66" s="64"/>
    </row>
    <row r="67" spans="1:66" s="12" customFormat="1" ht="25.5" x14ac:dyDescent="0.2">
      <c r="A67" s="154"/>
      <c r="B67" s="24" t="s">
        <v>103</v>
      </c>
      <c r="C67" s="27" t="s">
        <v>104</v>
      </c>
      <c r="D67" s="74">
        <f>+D68+D69+D70</f>
        <v>141000000</v>
      </c>
      <c r="E67" s="74">
        <f>SUM(E68:E68)</f>
        <v>0</v>
      </c>
      <c r="F67" s="74">
        <f>SUM(F68:F68)</f>
        <v>0</v>
      </c>
      <c r="G67" s="74">
        <f>SUM(G68:G68)</f>
        <v>0</v>
      </c>
      <c r="H67" s="74">
        <f>SUM(H68:H68)</f>
        <v>0</v>
      </c>
      <c r="I67" s="74">
        <f t="shared" ref="I67:I75" si="44">+D67+E67-F67+G67-H67</f>
        <v>141000000</v>
      </c>
      <c r="J67" s="74">
        <f>J68+J69+J70</f>
        <v>0</v>
      </c>
      <c r="K67" s="74">
        <f t="shared" ref="K67:U67" si="45">K68+K69+K70</f>
        <v>20000000</v>
      </c>
      <c r="L67" s="74">
        <f t="shared" si="45"/>
        <v>20000000</v>
      </c>
      <c r="M67" s="74">
        <f t="shared" si="45"/>
        <v>0</v>
      </c>
      <c r="N67" s="74">
        <f t="shared" si="45"/>
        <v>21000000</v>
      </c>
      <c r="O67" s="74">
        <f t="shared" si="45"/>
        <v>20000000</v>
      </c>
      <c r="P67" s="74">
        <f t="shared" si="45"/>
        <v>20000000</v>
      </c>
      <c r="Q67" s="74">
        <f t="shared" si="45"/>
        <v>0</v>
      </c>
      <c r="R67" s="74">
        <f t="shared" si="45"/>
        <v>20000000</v>
      </c>
      <c r="S67" s="74">
        <f t="shared" si="45"/>
        <v>20000000</v>
      </c>
      <c r="T67" s="74">
        <f t="shared" si="45"/>
        <v>0</v>
      </c>
      <c r="U67" s="74">
        <f t="shared" si="45"/>
        <v>0</v>
      </c>
      <c r="V67" s="135">
        <f t="shared" si="23"/>
        <v>141000000</v>
      </c>
      <c r="W67" s="64"/>
    </row>
    <row r="68" spans="1:66" s="17" customFormat="1" x14ac:dyDescent="0.2">
      <c r="A68" s="154"/>
      <c r="B68" s="7" t="s">
        <v>116</v>
      </c>
      <c r="C68" s="6" t="s">
        <v>115</v>
      </c>
      <c r="D68" s="79">
        <v>20000000</v>
      </c>
      <c r="E68" s="79">
        <v>0</v>
      </c>
      <c r="F68" s="79">
        <v>0</v>
      </c>
      <c r="G68" s="79">
        <v>0</v>
      </c>
      <c r="H68" s="79">
        <v>0</v>
      </c>
      <c r="I68" s="79">
        <f t="shared" si="44"/>
        <v>20000000</v>
      </c>
      <c r="J68" s="79"/>
      <c r="K68" s="79">
        <v>20000000</v>
      </c>
      <c r="L68" s="79">
        <v>0</v>
      </c>
      <c r="M68" s="79">
        <v>0</v>
      </c>
      <c r="N68" s="79">
        <v>0</v>
      </c>
      <c r="O68" s="79">
        <v>0</v>
      </c>
      <c r="P68" s="79">
        <v>0</v>
      </c>
      <c r="Q68" s="79">
        <v>0</v>
      </c>
      <c r="R68" s="79">
        <v>0</v>
      </c>
      <c r="S68" s="79">
        <v>0</v>
      </c>
      <c r="T68" s="79">
        <v>0</v>
      </c>
      <c r="U68" s="79">
        <v>0</v>
      </c>
      <c r="V68" s="118">
        <f t="shared" si="23"/>
        <v>20000000</v>
      </c>
      <c r="W68" s="64"/>
    </row>
    <row r="69" spans="1:66" s="17" customFormat="1" x14ac:dyDescent="0.2">
      <c r="A69" s="154"/>
      <c r="B69" s="92" t="s">
        <v>191</v>
      </c>
      <c r="C69" s="6" t="s">
        <v>115</v>
      </c>
      <c r="D69" s="79">
        <v>100000000</v>
      </c>
      <c r="E69" s="79">
        <v>0</v>
      </c>
      <c r="F69" s="79">
        <v>0</v>
      </c>
      <c r="G69" s="79">
        <v>0</v>
      </c>
      <c r="H69" s="79">
        <v>0</v>
      </c>
      <c r="I69" s="79">
        <f t="shared" ref="I69" si="46">+D69+E69-F69+G69-H69</f>
        <v>100000000</v>
      </c>
      <c r="J69" s="79">
        <v>0</v>
      </c>
      <c r="K69" s="79">
        <v>0</v>
      </c>
      <c r="L69" s="79">
        <v>20000000</v>
      </c>
      <c r="M69" s="79">
        <v>0</v>
      </c>
      <c r="N69" s="79">
        <v>0</v>
      </c>
      <c r="O69" s="79">
        <v>20000000</v>
      </c>
      <c r="P69" s="79">
        <v>20000000</v>
      </c>
      <c r="Q69" s="79"/>
      <c r="R69" s="79">
        <v>20000000</v>
      </c>
      <c r="S69" s="79">
        <v>20000000</v>
      </c>
      <c r="T69" s="79">
        <v>0</v>
      </c>
      <c r="U69" s="79">
        <v>0</v>
      </c>
      <c r="V69" s="118">
        <f t="shared" ref="V69" si="47">SUM(J69:U69)</f>
        <v>100000000</v>
      </c>
      <c r="W69" s="64"/>
    </row>
    <row r="70" spans="1:66" s="17" customFormat="1" x14ac:dyDescent="0.2">
      <c r="A70" s="154"/>
      <c r="B70" s="7" t="s">
        <v>122</v>
      </c>
      <c r="C70" s="6" t="s">
        <v>123</v>
      </c>
      <c r="D70" s="79">
        <v>21000000</v>
      </c>
      <c r="E70" s="79"/>
      <c r="F70" s="79"/>
      <c r="G70" s="79"/>
      <c r="H70" s="79"/>
      <c r="I70" s="79">
        <f t="shared" si="44"/>
        <v>21000000</v>
      </c>
      <c r="J70" s="79">
        <v>0</v>
      </c>
      <c r="K70" s="79">
        <v>0</v>
      </c>
      <c r="L70" s="79">
        <v>0</v>
      </c>
      <c r="M70" s="79">
        <v>0</v>
      </c>
      <c r="N70" s="79">
        <v>21000000</v>
      </c>
      <c r="O70" s="79">
        <v>0</v>
      </c>
      <c r="P70" s="79">
        <v>0</v>
      </c>
      <c r="Q70" s="79">
        <v>0</v>
      </c>
      <c r="R70" s="79">
        <v>0</v>
      </c>
      <c r="S70" s="79">
        <v>0</v>
      </c>
      <c r="T70" s="79">
        <v>0</v>
      </c>
      <c r="U70" s="79">
        <v>0</v>
      </c>
      <c r="V70" s="118">
        <f t="shared" si="23"/>
        <v>21000000</v>
      </c>
      <c r="W70" s="64"/>
    </row>
    <row r="71" spans="1:66" s="12" customFormat="1" x14ac:dyDescent="0.2">
      <c r="A71" s="154"/>
      <c r="B71" s="4"/>
      <c r="C71" s="172" t="s">
        <v>121</v>
      </c>
      <c r="D71" s="72">
        <v>0</v>
      </c>
      <c r="E71" s="72">
        <f>E72+E73</f>
        <v>0</v>
      </c>
      <c r="F71" s="72">
        <f>F72+F73</f>
        <v>0</v>
      </c>
      <c r="G71" s="72">
        <f>G72+G73</f>
        <v>0</v>
      </c>
      <c r="H71" s="72">
        <f>H72+H73</f>
        <v>0</v>
      </c>
      <c r="I71" s="72">
        <f t="shared" si="44"/>
        <v>0</v>
      </c>
      <c r="J71" s="72">
        <f t="shared" ref="J71" si="48">J72+J73</f>
        <v>0</v>
      </c>
      <c r="K71" s="79">
        <v>0</v>
      </c>
      <c r="L71" s="79">
        <v>0</v>
      </c>
      <c r="M71" s="79">
        <v>0</v>
      </c>
      <c r="N71" s="79">
        <v>0</v>
      </c>
      <c r="O71" s="79">
        <v>0</v>
      </c>
      <c r="P71" s="79">
        <v>0</v>
      </c>
      <c r="Q71" s="79">
        <v>0</v>
      </c>
      <c r="R71" s="79">
        <v>0</v>
      </c>
      <c r="S71" s="79">
        <v>0</v>
      </c>
      <c r="T71" s="79">
        <v>0</v>
      </c>
      <c r="U71" s="79">
        <v>0</v>
      </c>
      <c r="V71" s="137">
        <f t="shared" si="23"/>
        <v>0</v>
      </c>
      <c r="W71" s="64"/>
    </row>
    <row r="72" spans="1:66" s="12" customFormat="1" x14ac:dyDescent="0.2">
      <c r="A72" s="154"/>
      <c r="B72" s="25"/>
      <c r="C72" s="6" t="s">
        <v>16</v>
      </c>
      <c r="D72" s="113">
        <v>0</v>
      </c>
      <c r="E72" s="113">
        <v>0</v>
      </c>
      <c r="F72" s="113">
        <v>0</v>
      </c>
      <c r="G72" s="113">
        <v>0</v>
      </c>
      <c r="H72" s="113">
        <v>0</v>
      </c>
      <c r="I72" s="72">
        <f t="shared" si="44"/>
        <v>0</v>
      </c>
      <c r="J72" s="124">
        <v>0</v>
      </c>
      <c r="K72" s="124">
        <v>0</v>
      </c>
      <c r="L72" s="124">
        <v>0</v>
      </c>
      <c r="M72" s="124">
        <v>0</v>
      </c>
      <c r="N72" s="124">
        <v>0</v>
      </c>
      <c r="O72" s="124">
        <v>0</v>
      </c>
      <c r="P72" s="124">
        <v>0</v>
      </c>
      <c r="Q72" s="124">
        <v>0</v>
      </c>
      <c r="R72" s="124">
        <v>0</v>
      </c>
      <c r="S72" s="124">
        <v>0</v>
      </c>
      <c r="T72" s="124">
        <v>0</v>
      </c>
      <c r="U72" s="124">
        <v>0</v>
      </c>
      <c r="V72" s="124">
        <f t="shared" si="23"/>
        <v>0</v>
      </c>
      <c r="W72" s="64"/>
    </row>
    <row r="73" spans="1:66" s="10" customFormat="1" x14ac:dyDescent="0.2">
      <c r="A73" s="153"/>
      <c r="B73" s="19"/>
      <c r="C73" s="170" t="s">
        <v>17</v>
      </c>
      <c r="D73" s="114">
        <v>0</v>
      </c>
      <c r="E73" s="114">
        <v>0</v>
      </c>
      <c r="F73" s="114">
        <v>0</v>
      </c>
      <c r="G73" s="114">
        <v>0</v>
      </c>
      <c r="H73" s="114">
        <v>0</v>
      </c>
      <c r="I73" s="111">
        <f t="shared" si="44"/>
        <v>0</v>
      </c>
      <c r="J73" s="125">
        <v>0</v>
      </c>
      <c r="K73" s="125">
        <v>0</v>
      </c>
      <c r="L73" s="125">
        <v>0</v>
      </c>
      <c r="M73" s="125">
        <v>0</v>
      </c>
      <c r="N73" s="125">
        <v>0</v>
      </c>
      <c r="O73" s="125">
        <v>0</v>
      </c>
      <c r="P73" s="125">
        <v>0</v>
      </c>
      <c r="Q73" s="125">
        <v>0</v>
      </c>
      <c r="R73" s="125">
        <v>0</v>
      </c>
      <c r="S73" s="125">
        <v>0</v>
      </c>
      <c r="T73" s="125">
        <v>0</v>
      </c>
      <c r="U73" s="125">
        <v>0</v>
      </c>
      <c r="V73" s="125">
        <f t="shared" si="23"/>
        <v>0</v>
      </c>
      <c r="W73" s="64"/>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row>
    <row r="74" spans="1:66" s="26" customFormat="1" ht="32.25" customHeight="1" x14ac:dyDescent="0.2">
      <c r="A74" s="157"/>
      <c r="B74" s="4" t="s">
        <v>52</v>
      </c>
      <c r="C74" s="172" t="s">
        <v>18</v>
      </c>
      <c r="D74" s="72">
        <f>+D75+D90+D97+D106+D110</f>
        <v>90140836027.969986</v>
      </c>
      <c r="E74" s="72">
        <f t="shared" ref="E74:I74" si="49">+E75+E90+E97+E106+E110</f>
        <v>0</v>
      </c>
      <c r="F74" s="72">
        <f t="shared" si="49"/>
        <v>0</v>
      </c>
      <c r="G74" s="72">
        <f t="shared" si="49"/>
        <v>0</v>
      </c>
      <c r="H74" s="72">
        <f t="shared" si="49"/>
        <v>0</v>
      </c>
      <c r="I74" s="72">
        <f t="shared" si="49"/>
        <v>90140836027.969986</v>
      </c>
      <c r="J74" s="72">
        <f>+J75+J90+J97+J106+J110</f>
        <v>1845414883.880373</v>
      </c>
      <c r="K74" s="72">
        <f t="shared" ref="K74:U74" si="50">+K75+K90+K97+K106+K110</f>
        <v>6117976950.5188456</v>
      </c>
      <c r="L74" s="72">
        <f t="shared" si="50"/>
        <v>7917458967.9260025</v>
      </c>
      <c r="M74" s="72">
        <f t="shared" si="50"/>
        <v>5677267299.5863857</v>
      </c>
      <c r="N74" s="72">
        <f t="shared" si="50"/>
        <v>12629954556.200092</v>
      </c>
      <c r="O74" s="72">
        <f t="shared" si="50"/>
        <v>12548912854.637901</v>
      </c>
      <c r="P74" s="72">
        <f t="shared" si="50"/>
        <v>9615432193.1917019</v>
      </c>
      <c r="Q74" s="72">
        <f t="shared" si="50"/>
        <v>8905889943.8952465</v>
      </c>
      <c r="R74" s="72">
        <f t="shared" si="50"/>
        <v>8352864675.5718393</v>
      </c>
      <c r="S74" s="72">
        <f t="shared" si="50"/>
        <v>5790202717.6955318</v>
      </c>
      <c r="T74" s="72">
        <f t="shared" si="50"/>
        <v>4864009781.8090067</v>
      </c>
      <c r="U74" s="72">
        <f t="shared" si="50"/>
        <v>5875451203.0610714</v>
      </c>
      <c r="V74" s="73">
        <f t="shared" si="23"/>
        <v>90140836027.973999</v>
      </c>
      <c r="W74" s="64"/>
    </row>
    <row r="75" spans="1:66" s="28" customFormat="1" x14ac:dyDescent="0.2">
      <c r="A75" s="158"/>
      <c r="B75" s="24" t="s">
        <v>143</v>
      </c>
      <c r="C75" s="27" t="s">
        <v>51</v>
      </c>
      <c r="D75" s="74">
        <f>D76+D79+D81+D84+D87</f>
        <v>8248505682.5699997</v>
      </c>
      <c r="E75" s="74">
        <f t="shared" ref="E75:H75" si="51">E76+E79+E81+E84+E87</f>
        <v>0</v>
      </c>
      <c r="F75" s="74">
        <f t="shared" si="51"/>
        <v>0</v>
      </c>
      <c r="G75" s="74">
        <f t="shared" si="51"/>
        <v>0</v>
      </c>
      <c r="H75" s="74">
        <f t="shared" si="51"/>
        <v>0</v>
      </c>
      <c r="I75" s="74">
        <f t="shared" si="44"/>
        <v>8248505682.5699997</v>
      </c>
      <c r="J75" s="75">
        <f>+J76+J79+J81+J84+J87</f>
        <v>0</v>
      </c>
      <c r="K75" s="75">
        <f t="shared" ref="K75:U75" si="52">+K76+K79+K81+K84+K87</f>
        <v>2700000000</v>
      </c>
      <c r="L75" s="75">
        <f t="shared" si="52"/>
        <v>1299999999.9980001</v>
      </c>
      <c r="M75" s="75">
        <f t="shared" si="52"/>
        <v>1300000000</v>
      </c>
      <c r="N75" s="75">
        <f t="shared" si="52"/>
        <v>1299999999.9960001</v>
      </c>
      <c r="O75" s="75">
        <f t="shared" si="52"/>
        <v>226700283.06400001</v>
      </c>
      <c r="P75" s="75">
        <f t="shared" si="52"/>
        <v>469424447.13200003</v>
      </c>
      <c r="Q75" s="75">
        <f t="shared" si="52"/>
        <v>207142857.13999999</v>
      </c>
      <c r="R75" s="75">
        <f t="shared" si="52"/>
        <v>169047619.05000001</v>
      </c>
      <c r="S75" s="75">
        <f t="shared" si="52"/>
        <v>576190476.19400001</v>
      </c>
      <c r="T75" s="75">
        <f t="shared" si="52"/>
        <v>0</v>
      </c>
      <c r="U75" s="75">
        <f t="shared" si="52"/>
        <v>0</v>
      </c>
      <c r="V75" s="75">
        <f>SUM(J75:U75)</f>
        <v>8248505682.5740013</v>
      </c>
      <c r="W75" s="64"/>
    </row>
    <row r="76" spans="1:66" s="29" customFormat="1" ht="97.5" customHeight="1" x14ac:dyDescent="0.2">
      <c r="A76" s="158"/>
      <c r="B76" s="23" t="s">
        <v>137</v>
      </c>
      <c r="C76" s="5" t="s">
        <v>229</v>
      </c>
      <c r="D76" s="76">
        <f>SUM(D77:D78)</f>
        <v>2380952380.9499998</v>
      </c>
      <c r="E76" s="77">
        <f>SUM(E77:E77)</f>
        <v>0</v>
      </c>
      <c r="F76" s="77">
        <f>SUM(F77:F77)</f>
        <v>0</v>
      </c>
      <c r="G76" s="77">
        <f>SUM(G77:G77)</f>
        <v>0</v>
      </c>
      <c r="H76" s="77">
        <f>SUM(H77:H77)</f>
        <v>0</v>
      </c>
      <c r="I76" s="76">
        <f>+D76+E76-F76+G76-H76</f>
        <v>2380952380.9499998</v>
      </c>
      <c r="J76" s="78">
        <f t="shared" ref="J76:U76" si="53">SUM(J77:J78)</f>
        <v>0</v>
      </c>
      <c r="K76" s="78">
        <f t="shared" si="53"/>
        <v>0</v>
      </c>
      <c r="L76" s="78">
        <f t="shared" si="53"/>
        <v>952380952.38000011</v>
      </c>
      <c r="M76" s="78">
        <f t="shared" si="53"/>
        <v>0</v>
      </c>
      <c r="N76" s="78">
        <f t="shared" si="53"/>
        <v>0</v>
      </c>
      <c r="O76" s="78">
        <f t="shared" si="53"/>
        <v>138095238.09400001</v>
      </c>
      <c r="P76" s="78">
        <f t="shared" si="53"/>
        <v>338095238.09600002</v>
      </c>
      <c r="Q76" s="78">
        <f t="shared" si="53"/>
        <v>207142857.13999999</v>
      </c>
      <c r="R76" s="78">
        <f t="shared" si="53"/>
        <v>169047619.05000001</v>
      </c>
      <c r="S76" s="78">
        <f t="shared" si="53"/>
        <v>576190476.19400001</v>
      </c>
      <c r="T76" s="78">
        <f t="shared" si="53"/>
        <v>0</v>
      </c>
      <c r="U76" s="78">
        <f t="shared" si="53"/>
        <v>0</v>
      </c>
      <c r="V76" s="78">
        <f t="shared" ref="V76" si="54">SUM(J76:U76)</f>
        <v>2380952380.954</v>
      </c>
      <c r="W76" s="64"/>
    </row>
    <row r="77" spans="1:66" s="29" customFormat="1" x14ac:dyDescent="0.2">
      <c r="A77" s="158"/>
      <c r="B77" s="7" t="s">
        <v>138</v>
      </c>
      <c r="C77" s="6" t="s">
        <v>107</v>
      </c>
      <c r="D77" s="80">
        <v>1690476190.48</v>
      </c>
      <c r="E77" s="79">
        <v>0</v>
      </c>
      <c r="F77" s="79">
        <v>0</v>
      </c>
      <c r="G77" s="79">
        <v>0</v>
      </c>
      <c r="H77" s="79">
        <v>0</v>
      </c>
      <c r="I77" s="80">
        <f t="shared" ref="I77:I78" si="55">+D77+E77-F77+G77-H77</f>
        <v>1690476190.48</v>
      </c>
      <c r="J77" s="79">
        <v>0</v>
      </c>
      <c r="K77" s="79">
        <v>0</v>
      </c>
      <c r="L77" s="79">
        <v>676190476.19200003</v>
      </c>
      <c r="M77" s="79">
        <v>0</v>
      </c>
      <c r="N77" s="79"/>
      <c r="O77" s="63">
        <v>0</v>
      </c>
      <c r="P77" s="63">
        <v>338095238.09600002</v>
      </c>
      <c r="Q77" s="63"/>
      <c r="R77" s="63">
        <v>169047619.05000001</v>
      </c>
      <c r="S77" s="63">
        <v>507142857.14399999</v>
      </c>
      <c r="T77" s="63"/>
      <c r="U77" s="63">
        <v>0</v>
      </c>
      <c r="V77" s="63">
        <f t="shared" si="23"/>
        <v>1690476190.4820001</v>
      </c>
      <c r="W77" s="64"/>
    </row>
    <row r="78" spans="1:66" s="29" customFormat="1" ht="35.25" customHeight="1" x14ac:dyDescent="0.2">
      <c r="A78" s="158"/>
      <c r="B78" s="7" t="s">
        <v>140</v>
      </c>
      <c r="C78" s="6" t="s">
        <v>53</v>
      </c>
      <c r="D78" s="80">
        <v>690476190.47000003</v>
      </c>
      <c r="E78" s="79"/>
      <c r="F78" s="79"/>
      <c r="G78" s="79"/>
      <c r="H78" s="79"/>
      <c r="I78" s="80">
        <f t="shared" si="55"/>
        <v>690476190.47000003</v>
      </c>
      <c r="J78" s="79">
        <v>0</v>
      </c>
      <c r="K78" s="79">
        <v>0</v>
      </c>
      <c r="L78" s="63">
        <v>276190476.18800002</v>
      </c>
      <c r="M78" s="63"/>
      <c r="N78" s="63"/>
      <c r="O78" s="63">
        <v>138095238.09400001</v>
      </c>
      <c r="P78" s="63">
        <v>0</v>
      </c>
      <c r="Q78" s="63">
        <v>207142857.13999999</v>
      </c>
      <c r="R78" s="63"/>
      <c r="S78" s="63">
        <v>69047619.049999997</v>
      </c>
      <c r="T78" s="63"/>
      <c r="U78" s="63">
        <v>0</v>
      </c>
      <c r="V78" s="63">
        <f t="shared" si="23"/>
        <v>690476190.472</v>
      </c>
      <c r="W78" s="64"/>
    </row>
    <row r="79" spans="1:66" s="29" customFormat="1" ht="90.75" customHeight="1" x14ac:dyDescent="0.2">
      <c r="A79" s="158"/>
      <c r="B79" s="23" t="s">
        <v>139</v>
      </c>
      <c r="C79" s="5" t="s">
        <v>230</v>
      </c>
      <c r="D79" s="76">
        <f>SUM(D80:D80)</f>
        <v>437764030.12</v>
      </c>
      <c r="E79" s="76">
        <f>SUM(E80:E80)</f>
        <v>0</v>
      </c>
      <c r="F79" s="76">
        <f>SUM(F80:F80)</f>
        <v>0</v>
      </c>
      <c r="G79" s="76">
        <f>SUM(G80:G80)</f>
        <v>0</v>
      </c>
      <c r="H79" s="76">
        <f>SUM(H80:H80)</f>
        <v>0</v>
      </c>
      <c r="I79" s="76">
        <f t="shared" ref="I79:I100" si="56">+D79+E79-F79+G79-H79</f>
        <v>437764030.12</v>
      </c>
      <c r="J79" s="81">
        <f>+J80</f>
        <v>0</v>
      </c>
      <c r="K79" s="81">
        <f t="shared" ref="K79:U79" si="57">+K80</f>
        <v>0</v>
      </c>
      <c r="L79" s="81">
        <f t="shared" si="57"/>
        <v>175105612.04800001</v>
      </c>
      <c r="M79" s="81">
        <f t="shared" si="57"/>
        <v>0</v>
      </c>
      <c r="N79" s="81">
        <f t="shared" si="57"/>
        <v>131329209.036</v>
      </c>
      <c r="O79" s="81">
        <f t="shared" si="57"/>
        <v>0</v>
      </c>
      <c r="P79" s="81">
        <f t="shared" si="57"/>
        <v>131329209.03600001</v>
      </c>
      <c r="Q79" s="81">
        <f t="shared" si="57"/>
        <v>0</v>
      </c>
      <c r="R79" s="81">
        <f t="shared" si="57"/>
        <v>0</v>
      </c>
      <c r="S79" s="81"/>
      <c r="T79" s="81">
        <f t="shared" si="57"/>
        <v>0</v>
      </c>
      <c r="U79" s="81">
        <f t="shared" si="57"/>
        <v>0</v>
      </c>
      <c r="V79" s="81">
        <f t="shared" ref="V79" si="58">SUM(J79:U79)</f>
        <v>437764030.12</v>
      </c>
      <c r="W79" s="64"/>
    </row>
    <row r="80" spans="1:66" s="29" customFormat="1" ht="29.25" customHeight="1" x14ac:dyDescent="0.2">
      <c r="A80" s="158"/>
      <c r="B80" s="7" t="s">
        <v>140</v>
      </c>
      <c r="C80" s="98" t="s">
        <v>53</v>
      </c>
      <c r="D80" s="82">
        <v>437764030.12</v>
      </c>
      <c r="E80" s="79">
        <v>0</v>
      </c>
      <c r="F80" s="79">
        <v>0</v>
      </c>
      <c r="G80" s="79">
        <v>0</v>
      </c>
      <c r="H80" s="79">
        <v>0</v>
      </c>
      <c r="I80" s="80">
        <f t="shared" si="56"/>
        <v>437764030.12</v>
      </c>
      <c r="J80" s="79">
        <v>0</v>
      </c>
      <c r="K80" s="79">
        <v>0</v>
      </c>
      <c r="L80" s="63">
        <v>175105612.04800001</v>
      </c>
      <c r="M80" s="63"/>
      <c r="N80" s="63">
        <v>131329209.036</v>
      </c>
      <c r="O80" s="79">
        <v>0</v>
      </c>
      <c r="P80" s="63">
        <v>131329209.03600001</v>
      </c>
      <c r="Q80" s="63"/>
      <c r="R80" s="63"/>
      <c r="S80" s="63">
        <v>0</v>
      </c>
      <c r="T80" s="63"/>
      <c r="U80" s="63"/>
      <c r="V80" s="96">
        <f t="shared" ref="V80" si="59">SUM(J80:U80)</f>
        <v>437764030.12</v>
      </c>
      <c r="W80" s="64"/>
      <c r="Z80" s="64"/>
      <c r="AA80" s="64"/>
      <c r="AB80" s="64"/>
      <c r="AC80" s="64"/>
      <c r="AD80" s="64"/>
      <c r="AE80" s="64"/>
      <c r="AF80" s="64"/>
    </row>
    <row r="81" spans="1:32" s="29" customFormat="1" ht="90.75" customHeight="1" x14ac:dyDescent="0.2">
      <c r="A81" s="158"/>
      <c r="B81" s="23" t="s">
        <v>192</v>
      </c>
      <c r="C81" s="5" t="s">
        <v>211</v>
      </c>
      <c r="D81" s="76">
        <f>D82+D83</f>
        <v>1777653047.8999999</v>
      </c>
      <c r="E81" s="76">
        <f>SUM(E83:E90)</f>
        <v>0</v>
      </c>
      <c r="F81" s="76">
        <f>SUM(F83:F90)</f>
        <v>0</v>
      </c>
      <c r="G81" s="76">
        <f>SUM(G83:G90)</f>
        <v>0</v>
      </c>
      <c r="H81" s="76">
        <f>SUM(H83:H90)</f>
        <v>0</v>
      </c>
      <c r="I81" s="76">
        <f t="shared" ref="I81:I83" si="60">+D81+E81-F81+G81-H81</f>
        <v>1777653047.8999999</v>
      </c>
      <c r="J81" s="81">
        <f>J82+J83</f>
        <v>0</v>
      </c>
      <c r="K81" s="81">
        <f t="shared" ref="K81:U81" si="61">K82+K83</f>
        <v>1239145510.5599999</v>
      </c>
      <c r="L81" s="81">
        <f t="shared" si="61"/>
        <v>0</v>
      </c>
      <c r="M81" s="81">
        <f t="shared" si="61"/>
        <v>538507537.33999991</v>
      </c>
      <c r="N81" s="81">
        <f t="shared" si="61"/>
        <v>0</v>
      </c>
      <c r="O81" s="81">
        <f t="shared" si="61"/>
        <v>0</v>
      </c>
      <c r="P81" s="81">
        <f t="shared" si="61"/>
        <v>0</v>
      </c>
      <c r="Q81" s="81">
        <f t="shared" si="61"/>
        <v>0</v>
      </c>
      <c r="R81" s="81">
        <f t="shared" si="61"/>
        <v>0</v>
      </c>
      <c r="S81" s="81">
        <f t="shared" si="61"/>
        <v>0</v>
      </c>
      <c r="T81" s="81">
        <f t="shared" si="61"/>
        <v>0</v>
      </c>
      <c r="U81" s="81">
        <f t="shared" si="61"/>
        <v>0</v>
      </c>
      <c r="V81" s="81">
        <f t="shared" ref="V81:V85" si="62">SUM(J81:U81)</f>
        <v>1777653047.8999999</v>
      </c>
      <c r="W81" s="64"/>
    </row>
    <row r="82" spans="1:32" s="29" customFormat="1" ht="13.5" customHeight="1" x14ac:dyDescent="0.2">
      <c r="A82" s="158"/>
      <c r="B82" s="92" t="s">
        <v>225</v>
      </c>
      <c r="C82" s="6" t="s">
        <v>107</v>
      </c>
      <c r="D82" s="82">
        <v>1633397231.5999999</v>
      </c>
      <c r="E82" s="79">
        <v>0</v>
      </c>
      <c r="F82" s="79">
        <v>0</v>
      </c>
      <c r="G82" s="79">
        <v>0</v>
      </c>
      <c r="H82" s="79">
        <v>0</v>
      </c>
      <c r="I82" s="80">
        <f t="shared" ref="I82" si="63">+D82+E82-F82+G82-H82</f>
        <v>1633397231.5999999</v>
      </c>
      <c r="J82" s="79">
        <v>0</v>
      </c>
      <c r="K82" s="79">
        <f>653358892.64+470381964.88</f>
        <v>1123740857.52</v>
      </c>
      <c r="L82" s="79">
        <v>0</v>
      </c>
      <c r="M82" s="79">
        <v>509656374.07999992</v>
      </c>
      <c r="N82" s="79">
        <v>0</v>
      </c>
      <c r="O82" s="63">
        <v>0</v>
      </c>
      <c r="P82" s="79">
        <v>0</v>
      </c>
      <c r="Q82" s="79">
        <v>0</v>
      </c>
      <c r="R82" s="79">
        <v>0</v>
      </c>
      <c r="S82" s="79">
        <v>0</v>
      </c>
      <c r="T82" s="79">
        <v>0</v>
      </c>
      <c r="U82" s="79">
        <v>0</v>
      </c>
      <c r="V82" s="63">
        <f t="shared" ref="V82" si="64">SUM(J82:U82)</f>
        <v>1633397231.5999999</v>
      </c>
      <c r="W82" s="64"/>
      <c r="Z82" s="64"/>
      <c r="AA82" s="64"/>
      <c r="AB82" s="64"/>
      <c r="AC82" s="64"/>
      <c r="AD82" s="64"/>
      <c r="AE82" s="64"/>
      <c r="AF82" s="64"/>
    </row>
    <row r="83" spans="1:32" s="29" customFormat="1" ht="26.25" customHeight="1" x14ac:dyDescent="0.2">
      <c r="A83" s="158"/>
      <c r="B83" s="92" t="s">
        <v>228</v>
      </c>
      <c r="C83" s="98" t="s">
        <v>53</v>
      </c>
      <c r="D83" s="82">
        <v>144255816.30000001</v>
      </c>
      <c r="E83" s="79">
        <v>0</v>
      </c>
      <c r="F83" s="79">
        <v>0</v>
      </c>
      <c r="G83" s="79">
        <v>0</v>
      </c>
      <c r="H83" s="79">
        <v>0</v>
      </c>
      <c r="I83" s="80">
        <f t="shared" si="60"/>
        <v>144255816.30000001</v>
      </c>
      <c r="J83" s="79">
        <v>0</v>
      </c>
      <c r="K83" s="79">
        <v>115404653.04000001</v>
      </c>
      <c r="L83" s="79">
        <v>0</v>
      </c>
      <c r="M83" s="79">
        <v>28851163.260000005</v>
      </c>
      <c r="N83" s="79">
        <v>0</v>
      </c>
      <c r="O83" s="63">
        <v>0</v>
      </c>
      <c r="P83" s="79">
        <v>0</v>
      </c>
      <c r="Q83" s="79">
        <v>0</v>
      </c>
      <c r="R83" s="79">
        <v>0</v>
      </c>
      <c r="S83" s="79">
        <v>0</v>
      </c>
      <c r="T83" s="79">
        <v>0</v>
      </c>
      <c r="U83" s="79">
        <v>0</v>
      </c>
      <c r="V83" s="63">
        <f t="shared" ref="V83" si="65">SUM(J83:U83)</f>
        <v>144255816.30000001</v>
      </c>
      <c r="W83" s="64"/>
      <c r="Z83" s="64"/>
      <c r="AA83" s="64"/>
      <c r="AB83" s="64"/>
      <c r="AC83" s="64"/>
      <c r="AD83" s="64"/>
      <c r="AE83" s="64"/>
      <c r="AF83" s="64"/>
    </row>
    <row r="84" spans="1:32" s="29" customFormat="1" ht="90.75" customHeight="1" x14ac:dyDescent="0.2">
      <c r="A84" s="158"/>
      <c r="B84" s="23" t="s">
        <v>213</v>
      </c>
      <c r="C84" s="5" t="s">
        <v>212</v>
      </c>
      <c r="D84" s="76">
        <f>D85+D86</f>
        <v>1940036179</v>
      </c>
      <c r="E84" s="76">
        <f>SUM(E86:E92)</f>
        <v>0</v>
      </c>
      <c r="F84" s="76">
        <f>SUM(F86:F92)</f>
        <v>0</v>
      </c>
      <c r="G84" s="76">
        <f>SUM(G86:G92)</f>
        <v>0</v>
      </c>
      <c r="H84" s="76">
        <f>SUM(H86:H92)</f>
        <v>0</v>
      </c>
      <c r="I84" s="76">
        <f t="shared" ref="I84:I86" si="66">+D84+E84-F84+G84-H84</f>
        <v>1940036179</v>
      </c>
      <c r="J84" s="81">
        <f>J85+J86</f>
        <v>0</v>
      </c>
      <c r="K84" s="81">
        <f t="shared" ref="K84:U84" si="67">K85+K86</f>
        <v>776014471.60000002</v>
      </c>
      <c r="L84" s="81">
        <f t="shared" si="67"/>
        <v>0</v>
      </c>
      <c r="M84" s="81">
        <f t="shared" si="67"/>
        <v>388007235.80000001</v>
      </c>
      <c r="N84" s="81">
        <f t="shared" si="67"/>
        <v>776014471.60000002</v>
      </c>
      <c r="O84" s="81">
        <f t="shared" si="67"/>
        <v>0</v>
      </c>
      <c r="P84" s="81">
        <f t="shared" si="67"/>
        <v>0</v>
      </c>
      <c r="Q84" s="81">
        <f t="shared" si="67"/>
        <v>0</v>
      </c>
      <c r="R84" s="81">
        <f t="shared" si="67"/>
        <v>0</v>
      </c>
      <c r="S84" s="81">
        <f t="shared" si="67"/>
        <v>0</v>
      </c>
      <c r="T84" s="81">
        <f t="shared" si="67"/>
        <v>0</v>
      </c>
      <c r="U84" s="81">
        <f t="shared" si="67"/>
        <v>0</v>
      </c>
      <c r="V84" s="81">
        <f t="shared" si="62"/>
        <v>1940036179</v>
      </c>
      <c r="W84" s="64"/>
    </row>
    <row r="85" spans="1:32" s="29" customFormat="1" ht="13.5" customHeight="1" x14ac:dyDescent="0.2">
      <c r="A85" s="158"/>
      <c r="B85" s="92" t="s">
        <v>226</v>
      </c>
      <c r="C85" s="6" t="s">
        <v>107</v>
      </c>
      <c r="D85" s="82">
        <v>1747821909</v>
      </c>
      <c r="E85" s="79">
        <v>0</v>
      </c>
      <c r="F85" s="79">
        <v>0</v>
      </c>
      <c r="G85" s="79">
        <v>0</v>
      </c>
      <c r="H85" s="79">
        <v>0</v>
      </c>
      <c r="I85" s="80">
        <f t="shared" ref="I85" si="68">+D85+E85-F85+G85-H85</f>
        <v>1747821909</v>
      </c>
      <c r="J85" s="63">
        <v>0</v>
      </c>
      <c r="K85" s="63">
        <v>699128763.60000002</v>
      </c>
      <c r="L85" s="63">
        <v>0</v>
      </c>
      <c r="M85" s="63">
        <v>349564381.80000001</v>
      </c>
      <c r="N85" s="63">
        <v>699128763.60000002</v>
      </c>
      <c r="O85" s="63">
        <v>0</v>
      </c>
      <c r="P85" s="63">
        <v>0</v>
      </c>
      <c r="Q85" s="63">
        <v>0</v>
      </c>
      <c r="R85" s="63">
        <v>0</v>
      </c>
      <c r="S85" s="63">
        <v>0</v>
      </c>
      <c r="T85" s="63">
        <v>0</v>
      </c>
      <c r="U85" s="63">
        <v>0</v>
      </c>
      <c r="V85" s="63">
        <f t="shared" si="62"/>
        <v>1747821909</v>
      </c>
      <c r="W85" s="64"/>
      <c r="Z85" s="64"/>
      <c r="AA85" s="64"/>
      <c r="AB85" s="64"/>
      <c r="AC85" s="64"/>
      <c r="AD85" s="64"/>
      <c r="AE85" s="64"/>
      <c r="AF85" s="64"/>
    </row>
    <row r="86" spans="1:32" s="29" customFormat="1" ht="33" customHeight="1" x14ac:dyDescent="0.2">
      <c r="A86" s="158"/>
      <c r="B86" s="92" t="s">
        <v>223</v>
      </c>
      <c r="C86" s="98" t="s">
        <v>53</v>
      </c>
      <c r="D86" s="82">
        <v>192214270</v>
      </c>
      <c r="E86" s="79">
        <v>0</v>
      </c>
      <c r="F86" s="79">
        <v>0</v>
      </c>
      <c r="G86" s="79">
        <v>0</v>
      </c>
      <c r="H86" s="79">
        <v>0</v>
      </c>
      <c r="I86" s="80">
        <f t="shared" si="66"/>
        <v>192214270</v>
      </c>
      <c r="J86" s="63">
        <v>0</v>
      </c>
      <c r="K86" s="63">
        <v>76885708</v>
      </c>
      <c r="L86" s="63">
        <v>0</v>
      </c>
      <c r="M86" s="63">
        <v>38442854</v>
      </c>
      <c r="N86" s="63">
        <v>76885708</v>
      </c>
      <c r="O86" s="63">
        <v>0</v>
      </c>
      <c r="P86" s="63">
        <v>0</v>
      </c>
      <c r="Q86" s="63">
        <v>0</v>
      </c>
      <c r="R86" s="63">
        <v>0</v>
      </c>
      <c r="S86" s="63">
        <v>0</v>
      </c>
      <c r="T86" s="63">
        <v>0</v>
      </c>
      <c r="U86" s="63">
        <v>0</v>
      </c>
      <c r="V86" s="63">
        <f t="shared" ref="V86:V88" si="69">SUM(J86:U86)</f>
        <v>192214270</v>
      </c>
      <c r="W86" s="64"/>
      <c r="Z86" s="64"/>
      <c r="AA86" s="64"/>
      <c r="AB86" s="64"/>
      <c r="AC86" s="64"/>
      <c r="AD86" s="64"/>
      <c r="AE86" s="64"/>
      <c r="AF86" s="64"/>
    </row>
    <row r="87" spans="1:32" s="29" customFormat="1" ht="90.75" customHeight="1" x14ac:dyDescent="0.2">
      <c r="A87" s="158"/>
      <c r="B87" s="23" t="s">
        <v>214</v>
      </c>
      <c r="C87" s="5" t="s">
        <v>215</v>
      </c>
      <c r="D87" s="76">
        <f>D88+D89</f>
        <v>1712100044.5999999</v>
      </c>
      <c r="E87" s="76">
        <f>SUM(E89:E98)</f>
        <v>0</v>
      </c>
      <c r="F87" s="76">
        <f>SUM(F89:F98)</f>
        <v>0</v>
      </c>
      <c r="G87" s="76">
        <f>SUM(G89:G98)</f>
        <v>0</v>
      </c>
      <c r="H87" s="76">
        <f>SUM(H89:H98)</f>
        <v>0</v>
      </c>
      <c r="I87" s="76">
        <f t="shared" ref="I87:I89" si="70">+D87+E87-F87+G87-H87</f>
        <v>1712100044.5999999</v>
      </c>
      <c r="J87" s="81">
        <f>J88+J89</f>
        <v>0</v>
      </c>
      <c r="K87" s="81">
        <f t="shared" ref="K87:U87" si="71">K88+K89</f>
        <v>684840017.84000003</v>
      </c>
      <c r="L87" s="81">
        <f t="shared" si="71"/>
        <v>172513435.56999999</v>
      </c>
      <c r="M87" s="81">
        <f t="shared" si="71"/>
        <v>373485226.86000001</v>
      </c>
      <c r="N87" s="81">
        <f t="shared" si="71"/>
        <v>392656319.36000001</v>
      </c>
      <c r="O87" s="81">
        <f t="shared" si="71"/>
        <v>88605044.969999999</v>
      </c>
      <c r="P87" s="81">
        <f t="shared" si="71"/>
        <v>0</v>
      </c>
      <c r="Q87" s="81">
        <f t="shared" si="71"/>
        <v>0</v>
      </c>
      <c r="R87" s="81">
        <f t="shared" si="71"/>
        <v>0</v>
      </c>
      <c r="S87" s="81">
        <f t="shared" si="71"/>
        <v>0</v>
      </c>
      <c r="T87" s="81">
        <f t="shared" si="71"/>
        <v>0</v>
      </c>
      <c r="U87" s="81">
        <f t="shared" si="71"/>
        <v>0</v>
      </c>
      <c r="V87" s="81">
        <f t="shared" si="69"/>
        <v>1712100044.6000001</v>
      </c>
      <c r="W87" s="64"/>
    </row>
    <row r="88" spans="1:32" s="29" customFormat="1" ht="13.5" customHeight="1" x14ac:dyDescent="0.2">
      <c r="A88" s="158"/>
      <c r="B88" s="92" t="s">
        <v>227</v>
      </c>
      <c r="C88" s="6" t="s">
        <v>107</v>
      </c>
      <c r="D88" s="82">
        <v>1582095352.5</v>
      </c>
      <c r="E88" s="79">
        <v>0</v>
      </c>
      <c r="F88" s="79">
        <v>0</v>
      </c>
      <c r="G88" s="79">
        <v>0</v>
      </c>
      <c r="H88" s="79">
        <v>0</v>
      </c>
      <c r="I88" s="80">
        <f t="shared" si="70"/>
        <v>1582095352.5</v>
      </c>
      <c r="J88" s="63">
        <v>0</v>
      </c>
      <c r="K88" s="63">
        <v>632838141</v>
      </c>
      <c r="L88" s="63">
        <v>120511558.73</v>
      </c>
      <c r="M88" s="63">
        <f>316419070.5+31065217.94</f>
        <v>347484288.44</v>
      </c>
      <c r="N88" s="63">
        <v>392656319.36000001</v>
      </c>
      <c r="O88" s="63">
        <v>88605044.969999999</v>
      </c>
      <c r="P88" s="63">
        <v>0</v>
      </c>
      <c r="Q88" s="63">
        <v>0</v>
      </c>
      <c r="R88" s="63">
        <v>0</v>
      </c>
      <c r="S88" s="63">
        <v>0</v>
      </c>
      <c r="T88" s="63">
        <v>0</v>
      </c>
      <c r="U88" s="63">
        <v>0</v>
      </c>
      <c r="V88" s="63">
        <f t="shared" si="69"/>
        <v>1582095352.5000002</v>
      </c>
      <c r="W88" s="64"/>
      <c r="Z88" s="64"/>
      <c r="AA88" s="64"/>
      <c r="AB88" s="64"/>
      <c r="AC88" s="64"/>
      <c r="AD88" s="64"/>
      <c r="AE88" s="64"/>
      <c r="AF88" s="64"/>
    </row>
    <row r="89" spans="1:32" s="29" customFormat="1" ht="33" customHeight="1" x14ac:dyDescent="0.2">
      <c r="A89" s="158"/>
      <c r="B89" s="92" t="s">
        <v>222</v>
      </c>
      <c r="C89" s="98" t="s">
        <v>53</v>
      </c>
      <c r="D89" s="82">
        <v>130004692.09999999</v>
      </c>
      <c r="E89" s="79">
        <v>0</v>
      </c>
      <c r="F89" s="79">
        <v>0</v>
      </c>
      <c r="G89" s="79">
        <v>0</v>
      </c>
      <c r="H89" s="79">
        <v>0</v>
      </c>
      <c r="I89" s="80">
        <f t="shared" si="70"/>
        <v>130004692.09999999</v>
      </c>
      <c r="J89" s="63">
        <v>0</v>
      </c>
      <c r="K89" s="63">
        <v>52001876.840000004</v>
      </c>
      <c r="L89" s="63">
        <v>52001876.840000004</v>
      </c>
      <c r="M89" s="63">
        <v>26000938.420000002</v>
      </c>
      <c r="N89" s="63">
        <v>0</v>
      </c>
      <c r="O89" s="63"/>
      <c r="P89" s="63">
        <v>0</v>
      </c>
      <c r="Q89" s="63">
        <v>0</v>
      </c>
      <c r="R89" s="63">
        <v>0</v>
      </c>
      <c r="S89" s="63">
        <v>0</v>
      </c>
      <c r="T89" s="63">
        <v>0</v>
      </c>
      <c r="U89" s="63">
        <v>0</v>
      </c>
      <c r="V89" s="63">
        <f t="shared" ref="V89" si="72">SUM(J89:U89)</f>
        <v>130004692.10000001</v>
      </c>
      <c r="W89" s="64"/>
      <c r="Z89" s="64"/>
      <c r="AA89" s="64"/>
      <c r="AB89" s="64"/>
      <c r="AC89" s="64"/>
      <c r="AD89" s="64"/>
      <c r="AE89" s="64"/>
      <c r="AF89" s="64"/>
    </row>
    <row r="90" spans="1:32" s="29" customFormat="1" x14ac:dyDescent="0.2">
      <c r="A90" s="158"/>
      <c r="B90" s="24" t="s">
        <v>142</v>
      </c>
      <c r="C90" s="27" t="s">
        <v>141</v>
      </c>
      <c r="D90" s="74">
        <f>D91+D94</f>
        <v>6123229897.9699993</v>
      </c>
      <c r="E90" s="74">
        <f t="shared" ref="E90:H90" si="73">E91+E94</f>
        <v>0</v>
      </c>
      <c r="F90" s="74">
        <f t="shared" si="73"/>
        <v>0</v>
      </c>
      <c r="G90" s="74">
        <f t="shared" si="73"/>
        <v>0</v>
      </c>
      <c r="H90" s="74">
        <f t="shared" si="73"/>
        <v>0</v>
      </c>
      <c r="I90" s="74">
        <f t="shared" si="56"/>
        <v>6123229897.9699993</v>
      </c>
      <c r="J90" s="74">
        <f>J91+J94</f>
        <v>0</v>
      </c>
      <c r="K90" s="74">
        <f t="shared" ref="K90:U90" si="74">K91+K94</f>
        <v>0</v>
      </c>
      <c r="L90" s="74">
        <f t="shared" si="74"/>
        <v>2449291959.1880002</v>
      </c>
      <c r="M90" s="74">
        <f t="shared" si="74"/>
        <v>0</v>
      </c>
      <c r="N90" s="74">
        <f t="shared" si="74"/>
        <v>2449291959.1880002</v>
      </c>
      <c r="O90" s="74">
        <f t="shared" si="74"/>
        <v>1224645979.5940001</v>
      </c>
      <c r="P90" s="74">
        <f t="shared" si="74"/>
        <v>0</v>
      </c>
      <c r="Q90" s="74">
        <f t="shared" si="74"/>
        <v>0</v>
      </c>
      <c r="R90" s="74">
        <f t="shared" si="74"/>
        <v>0</v>
      </c>
      <c r="S90" s="74">
        <f t="shared" si="74"/>
        <v>0</v>
      </c>
      <c r="T90" s="74">
        <f t="shared" si="74"/>
        <v>0</v>
      </c>
      <c r="U90" s="74">
        <f t="shared" si="74"/>
        <v>0</v>
      </c>
      <c r="V90" s="74">
        <f t="shared" si="23"/>
        <v>6123229897.9700003</v>
      </c>
      <c r="W90" s="64"/>
    </row>
    <row r="91" spans="1:32" s="29" customFormat="1" ht="87.75" customHeight="1" x14ac:dyDescent="0.2">
      <c r="A91" s="158"/>
      <c r="B91" s="23" t="s">
        <v>193</v>
      </c>
      <c r="C91" s="5" t="s">
        <v>216</v>
      </c>
      <c r="D91" s="76">
        <f>D92+D93</f>
        <v>2617848780.52</v>
      </c>
      <c r="E91" s="76">
        <f>E92+E93</f>
        <v>0</v>
      </c>
      <c r="F91" s="76">
        <f>F92+F93</f>
        <v>0</v>
      </c>
      <c r="G91" s="76">
        <f>G92+G93</f>
        <v>0</v>
      </c>
      <c r="H91" s="76">
        <f>H92+H93</f>
        <v>0</v>
      </c>
      <c r="I91" s="76">
        <f t="shared" si="56"/>
        <v>2617848780.52</v>
      </c>
      <c r="J91" s="76">
        <f t="shared" ref="J91:U91" si="75">J92+J93</f>
        <v>0</v>
      </c>
      <c r="K91" s="76">
        <f t="shared" si="75"/>
        <v>0</v>
      </c>
      <c r="L91" s="76">
        <f t="shared" si="75"/>
        <v>1047139512.2080001</v>
      </c>
      <c r="M91" s="76">
        <f t="shared" si="75"/>
        <v>0</v>
      </c>
      <c r="N91" s="76">
        <f t="shared" si="75"/>
        <v>1047139512.2080001</v>
      </c>
      <c r="O91" s="76">
        <f t="shared" si="75"/>
        <v>523569756.10400003</v>
      </c>
      <c r="P91" s="76">
        <f t="shared" si="75"/>
        <v>0</v>
      </c>
      <c r="Q91" s="76">
        <f t="shared" si="75"/>
        <v>0</v>
      </c>
      <c r="R91" s="76">
        <f t="shared" si="75"/>
        <v>0</v>
      </c>
      <c r="S91" s="76">
        <f t="shared" si="75"/>
        <v>0</v>
      </c>
      <c r="T91" s="76">
        <f t="shared" si="75"/>
        <v>0</v>
      </c>
      <c r="U91" s="76">
        <f t="shared" si="75"/>
        <v>0</v>
      </c>
      <c r="V91" s="76">
        <f t="shared" ref="V91:V93" si="76">SUM(J91:U91)</f>
        <v>2617848780.52</v>
      </c>
      <c r="W91" s="64"/>
    </row>
    <row r="92" spans="1:32" s="29" customFormat="1" ht="13.5" customHeight="1" x14ac:dyDescent="0.2">
      <c r="A92" s="158"/>
      <c r="B92" s="7" t="s">
        <v>144</v>
      </c>
      <c r="C92" s="6" t="s">
        <v>107</v>
      </c>
      <c r="D92" s="82">
        <v>2248324355.0799999</v>
      </c>
      <c r="E92" s="79">
        <v>0</v>
      </c>
      <c r="F92" s="79">
        <v>0</v>
      </c>
      <c r="G92" s="79">
        <v>0</v>
      </c>
      <c r="H92" s="79">
        <v>0</v>
      </c>
      <c r="I92" s="80">
        <f t="shared" si="56"/>
        <v>2248324355.0799999</v>
      </c>
      <c r="J92" s="63">
        <v>0</v>
      </c>
      <c r="K92" s="63">
        <v>0</v>
      </c>
      <c r="L92" s="63">
        <v>899329742.03200006</v>
      </c>
      <c r="M92" s="63"/>
      <c r="N92" s="63">
        <v>899329742.03200006</v>
      </c>
      <c r="O92" s="63">
        <v>449664871.01600003</v>
      </c>
      <c r="P92" s="63">
        <v>0</v>
      </c>
      <c r="Q92" s="63">
        <v>0</v>
      </c>
      <c r="R92" s="63">
        <v>0</v>
      </c>
      <c r="S92" s="63">
        <v>0</v>
      </c>
      <c r="T92" s="63">
        <v>0</v>
      </c>
      <c r="U92" s="63">
        <v>0</v>
      </c>
      <c r="V92" s="95">
        <f t="shared" si="76"/>
        <v>2248324355.0799999</v>
      </c>
      <c r="W92" s="64"/>
      <c r="Z92" s="64"/>
      <c r="AA92" s="64"/>
      <c r="AB92" s="64"/>
      <c r="AC92" s="64"/>
      <c r="AD92" s="64"/>
      <c r="AE92" s="64"/>
      <c r="AF92" s="64"/>
    </row>
    <row r="93" spans="1:32" s="29" customFormat="1" ht="30.75" customHeight="1" x14ac:dyDescent="0.2">
      <c r="A93" s="158"/>
      <c r="B93" s="7" t="s">
        <v>145</v>
      </c>
      <c r="C93" s="6" t="s">
        <v>53</v>
      </c>
      <c r="D93" s="82">
        <v>369524425.44</v>
      </c>
      <c r="E93" s="79">
        <v>0</v>
      </c>
      <c r="F93" s="79">
        <v>0</v>
      </c>
      <c r="G93" s="79">
        <v>0</v>
      </c>
      <c r="H93" s="79">
        <v>0</v>
      </c>
      <c r="I93" s="80">
        <f t="shared" si="56"/>
        <v>369524425.44</v>
      </c>
      <c r="J93" s="63">
        <v>0</v>
      </c>
      <c r="K93" s="63">
        <v>0</v>
      </c>
      <c r="L93" s="63">
        <v>147809770.176</v>
      </c>
      <c r="M93" s="63"/>
      <c r="N93" s="63">
        <v>147809770.176</v>
      </c>
      <c r="O93" s="63">
        <v>73904885.088</v>
      </c>
      <c r="P93" s="63">
        <v>0</v>
      </c>
      <c r="Q93" s="63">
        <v>0</v>
      </c>
      <c r="R93" s="63">
        <v>0</v>
      </c>
      <c r="S93" s="63">
        <v>0</v>
      </c>
      <c r="T93" s="63">
        <v>0</v>
      </c>
      <c r="U93" s="63">
        <v>0</v>
      </c>
      <c r="V93" s="95">
        <f t="shared" si="76"/>
        <v>369524425.44</v>
      </c>
      <c r="W93" s="64"/>
    </row>
    <row r="94" spans="1:32" s="29" customFormat="1" ht="87.75" customHeight="1" x14ac:dyDescent="0.2">
      <c r="A94" s="158"/>
      <c r="B94" s="23" t="s">
        <v>217</v>
      </c>
      <c r="C94" s="5" t="s">
        <v>218</v>
      </c>
      <c r="D94" s="76">
        <f>D95+D96</f>
        <v>3505381117.4499998</v>
      </c>
      <c r="E94" s="76">
        <f>E95+E96</f>
        <v>0</v>
      </c>
      <c r="F94" s="76">
        <f>F95+F96</f>
        <v>0</v>
      </c>
      <c r="G94" s="76">
        <f>G95+G96</f>
        <v>0</v>
      </c>
      <c r="H94" s="76">
        <f>H95+H96</f>
        <v>0</v>
      </c>
      <c r="I94" s="76">
        <f t="shared" ref="I94:I96" si="77">+D94+E94-F94+G94-H94</f>
        <v>3505381117.4499998</v>
      </c>
      <c r="J94" s="76">
        <f t="shared" ref="J94:U94" si="78">J95+J96</f>
        <v>0</v>
      </c>
      <c r="K94" s="76">
        <f t="shared" si="78"/>
        <v>0</v>
      </c>
      <c r="L94" s="76">
        <f t="shared" si="78"/>
        <v>1402152446.9800003</v>
      </c>
      <c r="M94" s="76">
        <f t="shared" si="78"/>
        <v>0</v>
      </c>
      <c r="N94" s="76">
        <f t="shared" si="78"/>
        <v>1402152446.9800003</v>
      </c>
      <c r="O94" s="76">
        <f t="shared" si="78"/>
        <v>701076223.49000013</v>
      </c>
      <c r="P94" s="76">
        <f t="shared" si="78"/>
        <v>0</v>
      </c>
      <c r="Q94" s="76">
        <f t="shared" si="78"/>
        <v>0</v>
      </c>
      <c r="R94" s="76">
        <f t="shared" si="78"/>
        <v>0</v>
      </c>
      <c r="S94" s="76">
        <f t="shared" si="78"/>
        <v>0</v>
      </c>
      <c r="T94" s="76">
        <f t="shared" si="78"/>
        <v>0</v>
      </c>
      <c r="U94" s="76">
        <f t="shared" si="78"/>
        <v>0</v>
      </c>
      <c r="V94" s="76">
        <f t="shared" ref="V94:V96" si="79">SUM(J94:U94)</f>
        <v>3505381117.4500008</v>
      </c>
      <c r="W94" s="64"/>
    </row>
    <row r="95" spans="1:32" s="29" customFormat="1" ht="13.5" customHeight="1" x14ac:dyDescent="0.2">
      <c r="A95" s="158"/>
      <c r="B95" s="92" t="s">
        <v>219</v>
      </c>
      <c r="C95" s="6" t="s">
        <v>107</v>
      </c>
      <c r="D95" s="82">
        <v>3337389103.4400001</v>
      </c>
      <c r="E95" s="79">
        <v>0</v>
      </c>
      <c r="F95" s="79">
        <v>0</v>
      </c>
      <c r="G95" s="79">
        <v>0</v>
      </c>
      <c r="H95" s="79">
        <v>0</v>
      </c>
      <c r="I95" s="80">
        <f t="shared" si="77"/>
        <v>3337389103.4400001</v>
      </c>
      <c r="J95" s="63">
        <v>0</v>
      </c>
      <c r="K95" s="63">
        <v>0</v>
      </c>
      <c r="L95" s="63">
        <v>1334955641.3760002</v>
      </c>
      <c r="M95" s="63">
        <v>0</v>
      </c>
      <c r="N95" s="63">
        <v>1334955641.3760002</v>
      </c>
      <c r="O95" s="63">
        <v>667477820.68800008</v>
      </c>
      <c r="P95" s="63">
        <v>0</v>
      </c>
      <c r="Q95" s="63">
        <v>0</v>
      </c>
      <c r="R95" s="63">
        <v>0</v>
      </c>
      <c r="S95" s="63">
        <v>0</v>
      </c>
      <c r="T95" s="63">
        <v>0</v>
      </c>
      <c r="U95" s="63">
        <v>0</v>
      </c>
      <c r="V95" s="95">
        <f t="shared" si="79"/>
        <v>3337389103.4400005</v>
      </c>
      <c r="W95" s="64"/>
      <c r="Z95" s="64"/>
      <c r="AA95" s="64"/>
      <c r="AB95" s="64"/>
      <c r="AC95" s="64"/>
      <c r="AD95" s="64"/>
      <c r="AE95" s="64"/>
      <c r="AF95" s="64"/>
    </row>
    <row r="96" spans="1:32" s="29" customFormat="1" ht="30.75" customHeight="1" x14ac:dyDescent="0.2">
      <c r="A96" s="158"/>
      <c r="B96" s="92" t="s">
        <v>220</v>
      </c>
      <c r="C96" s="6" t="s">
        <v>53</v>
      </c>
      <c r="D96" s="82">
        <v>167992014.00999999</v>
      </c>
      <c r="E96" s="79">
        <v>0</v>
      </c>
      <c r="F96" s="79">
        <v>0</v>
      </c>
      <c r="G96" s="79">
        <v>0</v>
      </c>
      <c r="H96" s="79">
        <v>0</v>
      </c>
      <c r="I96" s="80">
        <f t="shared" si="77"/>
        <v>167992014.00999999</v>
      </c>
      <c r="J96" s="63">
        <v>0</v>
      </c>
      <c r="K96" s="63">
        <v>0</v>
      </c>
      <c r="L96" s="63">
        <v>67196805.604000002</v>
      </c>
      <c r="M96" s="63"/>
      <c r="N96" s="63">
        <v>67196805.604000002</v>
      </c>
      <c r="O96" s="63">
        <v>33598402.802000001</v>
      </c>
      <c r="P96" s="63">
        <v>0</v>
      </c>
      <c r="Q96" s="63">
        <v>0</v>
      </c>
      <c r="R96" s="63">
        <v>0</v>
      </c>
      <c r="S96" s="63">
        <v>0</v>
      </c>
      <c r="T96" s="63">
        <v>0</v>
      </c>
      <c r="U96" s="63">
        <v>0</v>
      </c>
      <c r="V96" s="95">
        <f t="shared" si="79"/>
        <v>167992014.00999999</v>
      </c>
      <c r="W96" s="64"/>
    </row>
    <row r="97" spans="1:66" s="29" customFormat="1" x14ac:dyDescent="0.2">
      <c r="A97" s="158"/>
      <c r="B97" s="24" t="s">
        <v>108</v>
      </c>
      <c r="C97" s="27" t="s">
        <v>54</v>
      </c>
      <c r="D97" s="74">
        <f>D98+D102+D104</f>
        <v>70382237882.429993</v>
      </c>
      <c r="E97" s="74">
        <f>E98+E102+E104</f>
        <v>0</v>
      </c>
      <c r="F97" s="74">
        <f t="shared" ref="F97:H97" si="80">F98+F102+F104</f>
        <v>0</v>
      </c>
      <c r="G97" s="74">
        <f t="shared" si="80"/>
        <v>0</v>
      </c>
      <c r="H97" s="74">
        <f t="shared" si="80"/>
        <v>0</v>
      </c>
      <c r="I97" s="74">
        <f>+D97+E97-F97+G97-H97</f>
        <v>70382237882.429993</v>
      </c>
      <c r="J97" s="74">
        <f>+J98+J102+J104</f>
        <v>1845414883.880373</v>
      </c>
      <c r="K97" s="74">
        <f t="shared" ref="K97:U97" si="81">+K98+K102+K104</f>
        <v>3167976950.5188456</v>
      </c>
      <c r="L97" s="74">
        <f t="shared" si="81"/>
        <v>3918167008.7400026</v>
      </c>
      <c r="M97" s="74">
        <f t="shared" si="81"/>
        <v>4127267299.5863862</v>
      </c>
      <c r="N97" s="74">
        <f t="shared" si="81"/>
        <v>8630662597.0160923</v>
      </c>
      <c r="O97" s="74">
        <f t="shared" si="81"/>
        <v>8515449052.9799013</v>
      </c>
      <c r="P97" s="74">
        <f t="shared" si="81"/>
        <v>8896007746.0597019</v>
      </c>
      <c r="Q97" s="74">
        <f t="shared" si="81"/>
        <v>8698747086.7552471</v>
      </c>
      <c r="R97" s="74">
        <f t="shared" si="81"/>
        <v>8183817056.5218391</v>
      </c>
      <c r="S97" s="74">
        <f t="shared" si="81"/>
        <v>5214012241.5015316</v>
      </c>
      <c r="T97" s="74">
        <f t="shared" si="81"/>
        <v>4864009781.8090067</v>
      </c>
      <c r="U97" s="74">
        <f t="shared" si="81"/>
        <v>4320706177.0610714</v>
      </c>
      <c r="V97" s="74">
        <f t="shared" si="23"/>
        <v>70382237882.430008</v>
      </c>
      <c r="W97" s="64"/>
    </row>
    <row r="98" spans="1:66" s="29" customFormat="1" ht="51" x14ac:dyDescent="0.2">
      <c r="A98" s="158"/>
      <c r="B98" s="23" t="s">
        <v>146</v>
      </c>
      <c r="C98" s="5" t="s">
        <v>194</v>
      </c>
      <c r="D98" s="76">
        <f>D99+D100+D101</f>
        <v>16556154691.43</v>
      </c>
      <c r="E98" s="76">
        <f t="shared" ref="E98:H98" si="82">E99+E100+E101</f>
        <v>0</v>
      </c>
      <c r="F98" s="76">
        <f t="shared" si="82"/>
        <v>0</v>
      </c>
      <c r="G98" s="76">
        <f t="shared" si="82"/>
        <v>0</v>
      </c>
      <c r="H98" s="76">
        <f t="shared" si="82"/>
        <v>0</v>
      </c>
      <c r="I98" s="76">
        <f>I99+I100+I101</f>
        <v>16556154691.43</v>
      </c>
      <c r="J98" s="76">
        <f>J99+J100+J101</f>
        <v>0</v>
      </c>
      <c r="K98" s="76">
        <f t="shared" ref="K98:U98" si="83">K99+K100+K101</f>
        <v>1300000000</v>
      </c>
      <c r="L98" s="76">
        <f t="shared" si="83"/>
        <v>1300000000</v>
      </c>
      <c r="M98" s="76">
        <f t="shared" si="83"/>
        <v>1300000000</v>
      </c>
      <c r="N98" s="76">
        <f t="shared" si="83"/>
        <v>1300000000</v>
      </c>
      <c r="O98" s="76">
        <f t="shared" si="83"/>
        <v>1300000000</v>
      </c>
      <c r="P98" s="76">
        <f t="shared" si="83"/>
        <v>1300000000</v>
      </c>
      <c r="Q98" s="76">
        <f t="shared" si="83"/>
        <v>1300000000</v>
      </c>
      <c r="R98" s="76">
        <f t="shared" si="83"/>
        <v>2052051564</v>
      </c>
      <c r="S98" s="76">
        <f t="shared" si="83"/>
        <v>2052051564</v>
      </c>
      <c r="T98" s="76">
        <f t="shared" si="83"/>
        <v>2052051564</v>
      </c>
      <c r="U98" s="76">
        <f t="shared" si="83"/>
        <v>1299999999.4299998</v>
      </c>
      <c r="V98" s="76">
        <f t="shared" ref="V98:V260" si="84">SUM(J98:U98)</f>
        <v>16556154691.43</v>
      </c>
      <c r="W98" s="64"/>
    </row>
    <row r="99" spans="1:66" s="29" customFormat="1" ht="12.75" customHeight="1" x14ac:dyDescent="0.2">
      <c r="A99" s="158"/>
      <c r="B99" s="7" t="s">
        <v>147</v>
      </c>
      <c r="C99" s="6" t="s">
        <v>107</v>
      </c>
      <c r="D99" s="79">
        <v>12052385707.309999</v>
      </c>
      <c r="E99" s="72">
        <v>0</v>
      </c>
      <c r="F99" s="72">
        <v>0</v>
      </c>
      <c r="G99" s="72">
        <v>0</v>
      </c>
      <c r="H99" s="72">
        <v>0</v>
      </c>
      <c r="I99" s="79">
        <f t="shared" si="56"/>
        <v>12052385707.309999</v>
      </c>
      <c r="J99" s="63">
        <v>0</v>
      </c>
      <c r="K99" s="63">
        <v>696850970.66999996</v>
      </c>
      <c r="L99" s="63">
        <v>696850970.66999996</v>
      </c>
      <c r="M99" s="63">
        <v>696850970.66999996</v>
      </c>
      <c r="N99" s="63">
        <v>696850970.66999996</v>
      </c>
      <c r="O99" s="63">
        <v>696850970.66999996</v>
      </c>
      <c r="P99" s="63">
        <v>1051996027.09</v>
      </c>
      <c r="Q99" s="63">
        <v>1051996027.09</v>
      </c>
      <c r="R99" s="63">
        <v>1804047591.0900002</v>
      </c>
      <c r="S99" s="63">
        <v>1804047591.0900002</v>
      </c>
      <c r="T99" s="63">
        <v>1804047591.0900002</v>
      </c>
      <c r="U99" s="63">
        <v>1051996026.51</v>
      </c>
      <c r="V99" s="63">
        <f t="shared" si="84"/>
        <v>12052385707.309999</v>
      </c>
      <c r="W99" s="64"/>
      <c r="X99" s="29">
        <f>W99/3</f>
        <v>0</v>
      </c>
    </row>
    <row r="100" spans="1:66" s="29" customFormat="1" ht="12.75" customHeight="1" x14ac:dyDescent="0.2">
      <c r="A100" s="158"/>
      <c r="B100" s="7" t="s">
        <v>148</v>
      </c>
      <c r="C100" s="6" t="s">
        <v>53</v>
      </c>
      <c r="D100" s="79">
        <v>4303768984.1199999</v>
      </c>
      <c r="E100" s="79"/>
      <c r="F100" s="79"/>
      <c r="G100" s="79"/>
      <c r="H100" s="79"/>
      <c r="I100" s="79">
        <f t="shared" si="56"/>
        <v>4303768984.1199999</v>
      </c>
      <c r="J100" s="63">
        <v>0</v>
      </c>
      <c r="K100" s="63">
        <v>603149029.33000004</v>
      </c>
      <c r="L100" s="63">
        <v>603149029.33000004</v>
      </c>
      <c r="M100" s="63">
        <v>603149029.33000004</v>
      </c>
      <c r="N100" s="63">
        <v>603149029.33000004</v>
      </c>
      <c r="O100" s="63">
        <v>603149029.33000004</v>
      </c>
      <c r="P100" s="63">
        <v>214670639.58000001</v>
      </c>
      <c r="Q100" s="63">
        <v>214670639.58000001</v>
      </c>
      <c r="R100" s="63">
        <v>214670639.58000001</v>
      </c>
      <c r="S100" s="63">
        <v>214670639.58000001</v>
      </c>
      <c r="T100" s="63">
        <v>214670639.58000001</v>
      </c>
      <c r="U100" s="63">
        <v>214670639.57000002</v>
      </c>
      <c r="V100" s="63">
        <f>SUM(J100:U100)</f>
        <v>4303768984.1199999</v>
      </c>
      <c r="W100" s="64"/>
      <c r="X100" s="29">
        <f>X99*3</f>
        <v>0</v>
      </c>
      <c r="Z100" s="64"/>
      <c r="AA100" s="64"/>
      <c r="AB100" s="64"/>
      <c r="AC100" s="64"/>
      <c r="AD100" s="64"/>
      <c r="AE100" s="64"/>
      <c r="AF100" s="64"/>
    </row>
    <row r="101" spans="1:66" s="29" customFormat="1" ht="12.75" customHeight="1" x14ac:dyDescent="0.2">
      <c r="A101" s="158"/>
      <c r="B101" s="92" t="s">
        <v>221</v>
      </c>
      <c r="C101" s="6" t="s">
        <v>53</v>
      </c>
      <c r="D101" s="79">
        <v>200000000</v>
      </c>
      <c r="E101" s="79"/>
      <c r="F101" s="79"/>
      <c r="G101" s="79"/>
      <c r="H101" s="79"/>
      <c r="I101" s="79">
        <f t="shared" ref="I101" si="85">+D101+E101-F101+G101-H101</f>
        <v>200000000</v>
      </c>
      <c r="J101" s="63">
        <v>0</v>
      </c>
      <c r="K101" s="63">
        <v>0</v>
      </c>
      <c r="L101" s="63">
        <v>0</v>
      </c>
      <c r="M101" s="63"/>
      <c r="N101" s="63">
        <v>0</v>
      </c>
      <c r="O101" s="63"/>
      <c r="P101" s="63">
        <v>33333333.329999998</v>
      </c>
      <c r="Q101" s="63">
        <v>33333333.329999998</v>
      </c>
      <c r="R101" s="63">
        <v>33333333.329999998</v>
      </c>
      <c r="S101" s="63">
        <v>33333333.329999998</v>
      </c>
      <c r="T101" s="63">
        <v>33333333.329999998</v>
      </c>
      <c r="U101" s="63">
        <v>33333333.349999998</v>
      </c>
      <c r="V101" s="63">
        <f t="shared" ref="V101" si="86">SUM(J101:U101)</f>
        <v>199999999.99999997</v>
      </c>
      <c r="W101" s="64"/>
      <c r="Z101" s="64"/>
      <c r="AA101" s="64"/>
      <c r="AB101" s="64"/>
      <c r="AC101" s="64"/>
      <c r="AD101" s="64"/>
      <c r="AE101" s="64"/>
      <c r="AF101" s="64"/>
    </row>
    <row r="102" spans="1:66" s="29" customFormat="1" ht="84" customHeight="1" x14ac:dyDescent="0.2">
      <c r="A102" s="158"/>
      <c r="B102" s="23" t="s">
        <v>149</v>
      </c>
      <c r="C102" s="5" t="s">
        <v>150</v>
      </c>
      <c r="D102" s="76">
        <f>D103</f>
        <v>21000000000</v>
      </c>
      <c r="E102" s="76">
        <f t="shared" ref="E102:H102" si="87">E103</f>
        <v>0</v>
      </c>
      <c r="F102" s="76">
        <f t="shared" si="87"/>
        <v>0</v>
      </c>
      <c r="G102" s="76">
        <f t="shared" si="87"/>
        <v>0</v>
      </c>
      <c r="H102" s="76">
        <f t="shared" si="87"/>
        <v>0</v>
      </c>
      <c r="I102" s="76">
        <f>D102+E102-F102+G102-H102</f>
        <v>21000000000</v>
      </c>
      <c r="J102" s="76">
        <f>J103</f>
        <v>0</v>
      </c>
      <c r="K102" s="76">
        <f t="shared" ref="K102:U102" si="88">K103</f>
        <v>0</v>
      </c>
      <c r="L102" s="76">
        <f t="shared" si="88"/>
        <v>0</v>
      </c>
      <c r="M102" s="76">
        <f t="shared" si="88"/>
        <v>0</v>
      </c>
      <c r="N102" s="76">
        <f t="shared" si="88"/>
        <v>4500000000</v>
      </c>
      <c r="O102" s="76">
        <f t="shared" si="88"/>
        <v>4500000000</v>
      </c>
      <c r="P102" s="76">
        <f t="shared" si="88"/>
        <v>4500000000</v>
      </c>
      <c r="Q102" s="76">
        <f t="shared" si="88"/>
        <v>4500000000</v>
      </c>
      <c r="R102" s="76">
        <f t="shared" si="88"/>
        <v>3000000000</v>
      </c>
      <c r="S102" s="76">
        <f t="shared" si="88"/>
        <v>0</v>
      </c>
      <c r="T102" s="76">
        <f t="shared" si="88"/>
        <v>0</v>
      </c>
      <c r="U102" s="76">
        <f t="shared" si="88"/>
        <v>0</v>
      </c>
      <c r="V102" s="76">
        <f t="shared" si="84"/>
        <v>21000000000</v>
      </c>
      <c r="W102" s="64"/>
    </row>
    <row r="103" spans="1:66" s="29" customFormat="1" ht="12.75" customHeight="1" x14ac:dyDescent="0.2">
      <c r="A103" s="158"/>
      <c r="B103" s="141" t="s">
        <v>151</v>
      </c>
      <c r="C103" s="6" t="s">
        <v>107</v>
      </c>
      <c r="D103" s="79">
        <v>21000000000</v>
      </c>
      <c r="E103" s="79">
        <v>0</v>
      </c>
      <c r="F103" s="79">
        <v>0</v>
      </c>
      <c r="G103" s="79">
        <v>0</v>
      </c>
      <c r="H103" s="79">
        <v>0</v>
      </c>
      <c r="I103" s="79">
        <f>D103+E103-F103+G103-H103</f>
        <v>21000000000</v>
      </c>
      <c r="J103" s="83">
        <v>0</v>
      </c>
      <c r="K103" s="83">
        <v>0</v>
      </c>
      <c r="L103" s="63"/>
      <c r="M103" s="96"/>
      <c r="N103" s="96">
        <v>4500000000</v>
      </c>
      <c r="O103" s="63">
        <v>4500000000</v>
      </c>
      <c r="P103" s="96">
        <v>4500000000</v>
      </c>
      <c r="Q103" s="96">
        <v>4500000000</v>
      </c>
      <c r="R103" s="63">
        <f>I103-N103-O103-P103-Q103</f>
        <v>3000000000</v>
      </c>
      <c r="S103" s="83">
        <v>0</v>
      </c>
      <c r="T103" s="83">
        <v>0</v>
      </c>
      <c r="U103" s="63"/>
      <c r="V103" s="63">
        <f t="shared" si="84"/>
        <v>21000000000</v>
      </c>
      <c r="W103" s="64"/>
    </row>
    <row r="104" spans="1:66" s="29" customFormat="1" ht="84" customHeight="1" x14ac:dyDescent="0.2">
      <c r="A104" s="158"/>
      <c r="B104" s="23" t="s">
        <v>195</v>
      </c>
      <c r="C104" s="5" t="s">
        <v>196</v>
      </c>
      <c r="D104" s="76">
        <f>D105</f>
        <v>32826083191</v>
      </c>
      <c r="E104" s="76">
        <f t="shared" ref="E104" si="89">E105</f>
        <v>0</v>
      </c>
      <c r="F104" s="76">
        <f t="shared" ref="F104" si="90">F105</f>
        <v>0</v>
      </c>
      <c r="G104" s="76">
        <f t="shared" ref="G104" si="91">G105</f>
        <v>0</v>
      </c>
      <c r="H104" s="76">
        <f t="shared" ref="H104" si="92">H105</f>
        <v>0</v>
      </c>
      <c r="I104" s="76">
        <f>D104+E104-F104+G104-H104</f>
        <v>32826083191</v>
      </c>
      <c r="J104" s="76">
        <f>J105</f>
        <v>1845414883.880373</v>
      </c>
      <c r="K104" s="76">
        <f t="shared" ref="K104:U104" si="93">K105</f>
        <v>1867976950.5188456</v>
      </c>
      <c r="L104" s="76">
        <f t="shared" si="93"/>
        <v>2618167008.7400026</v>
      </c>
      <c r="M104" s="76">
        <f t="shared" si="93"/>
        <v>2827267299.5863862</v>
      </c>
      <c r="N104" s="76">
        <f t="shared" si="93"/>
        <v>2830662597.0160928</v>
      </c>
      <c r="O104" s="76">
        <f t="shared" si="93"/>
        <v>2715449052.9799013</v>
      </c>
      <c r="P104" s="76">
        <f t="shared" si="93"/>
        <v>3096007746.0597014</v>
      </c>
      <c r="Q104" s="76">
        <f t="shared" si="93"/>
        <v>2898747086.7552476</v>
      </c>
      <c r="R104" s="76">
        <f t="shared" si="93"/>
        <v>3131765492.5218396</v>
      </c>
      <c r="S104" s="76">
        <f t="shared" si="93"/>
        <v>3161960677.5015321</v>
      </c>
      <c r="T104" s="76">
        <f t="shared" si="93"/>
        <v>2811958217.8090067</v>
      </c>
      <c r="U104" s="76">
        <f t="shared" si="93"/>
        <v>3020706177.6310716</v>
      </c>
      <c r="V104" s="76">
        <f t="shared" si="84"/>
        <v>32826083191</v>
      </c>
      <c r="W104" s="64"/>
    </row>
    <row r="105" spans="1:66" s="29" customFormat="1" ht="12.75" customHeight="1" x14ac:dyDescent="0.2">
      <c r="A105" s="158"/>
      <c r="B105" s="7" t="s">
        <v>197</v>
      </c>
      <c r="C105" s="6" t="s">
        <v>107</v>
      </c>
      <c r="D105" s="79">
        <v>32826083191</v>
      </c>
      <c r="E105" s="79">
        <v>0</v>
      </c>
      <c r="F105" s="79">
        <v>0</v>
      </c>
      <c r="G105" s="79">
        <v>0</v>
      </c>
      <c r="H105" s="79">
        <v>0</v>
      </c>
      <c r="I105" s="80">
        <f t="shared" ref="I105" si="94">+D105+E105-F105+G105-H105</f>
        <v>32826083191</v>
      </c>
      <c r="J105" s="96">
        <v>1845414883.880373</v>
      </c>
      <c r="K105" s="96">
        <v>1867976950.5188456</v>
      </c>
      <c r="L105" s="96">
        <v>2618167008.7400026</v>
      </c>
      <c r="M105" s="96">
        <v>2827267299.5863862</v>
      </c>
      <c r="N105" s="96">
        <v>2830662597.0160928</v>
      </c>
      <c r="O105" s="99">
        <v>2715449052.9799013</v>
      </c>
      <c r="P105" s="96">
        <v>3096007746.0597014</v>
      </c>
      <c r="Q105" s="96">
        <v>2898747086.7552476</v>
      </c>
      <c r="R105" s="63">
        <v>3131765492.5218396</v>
      </c>
      <c r="S105" s="83">
        <v>3161960677.5015321</v>
      </c>
      <c r="T105" s="83">
        <v>2811958217.8090067</v>
      </c>
      <c r="U105" s="63">
        <v>3020706177.6310716</v>
      </c>
      <c r="V105" s="63">
        <f t="shared" si="84"/>
        <v>32826083191</v>
      </c>
      <c r="W105" s="64"/>
    </row>
    <row r="106" spans="1:66" s="29" customFormat="1" x14ac:dyDescent="0.2">
      <c r="A106" s="158"/>
      <c r="B106" s="24" t="s">
        <v>109</v>
      </c>
      <c r="C106" s="27" t="s">
        <v>55</v>
      </c>
      <c r="D106" s="74">
        <f>+D107</f>
        <v>3886862565</v>
      </c>
      <c r="E106" s="74">
        <f>+E107</f>
        <v>0</v>
      </c>
      <c r="F106" s="74">
        <f t="shared" ref="F106:H106" si="95">+F107</f>
        <v>0</v>
      </c>
      <c r="G106" s="74">
        <f t="shared" si="95"/>
        <v>0</v>
      </c>
      <c r="H106" s="74">
        <f t="shared" si="95"/>
        <v>0</v>
      </c>
      <c r="I106" s="74">
        <f t="shared" ref="I106:I109" si="96">+D106+E106-F106+G106-H106</f>
        <v>3886862565</v>
      </c>
      <c r="J106" s="74"/>
      <c r="K106" s="74">
        <f>+K107</f>
        <v>0</v>
      </c>
      <c r="L106" s="74">
        <f t="shared" ref="L106:U106" si="97">+L107</f>
        <v>0</v>
      </c>
      <c r="M106" s="74">
        <f t="shared" si="97"/>
        <v>0</v>
      </c>
      <c r="N106" s="74">
        <f t="shared" si="97"/>
        <v>0</v>
      </c>
      <c r="O106" s="74">
        <f t="shared" si="97"/>
        <v>2332117539</v>
      </c>
      <c r="P106" s="74">
        <f t="shared" si="97"/>
        <v>0</v>
      </c>
      <c r="Q106" s="74">
        <f t="shared" si="97"/>
        <v>0</v>
      </c>
      <c r="R106" s="74">
        <f t="shared" si="97"/>
        <v>0</v>
      </c>
      <c r="S106" s="74">
        <f t="shared" si="97"/>
        <v>0</v>
      </c>
      <c r="T106" s="74">
        <f t="shared" si="97"/>
        <v>0</v>
      </c>
      <c r="U106" s="74">
        <f t="shared" si="97"/>
        <v>1554745026</v>
      </c>
      <c r="V106" s="74">
        <f>SUM(J106:U106)</f>
        <v>3886862565</v>
      </c>
      <c r="W106" s="64"/>
    </row>
    <row r="107" spans="1:66" s="28" customFormat="1" ht="38.25" x14ac:dyDescent="0.2">
      <c r="A107" s="158"/>
      <c r="B107" s="23" t="s">
        <v>152</v>
      </c>
      <c r="C107" s="5" t="s">
        <v>198</v>
      </c>
      <c r="D107" s="76">
        <f>SUM(D108:D109)</f>
        <v>3886862565</v>
      </c>
      <c r="E107" s="76">
        <f>+E108</f>
        <v>0</v>
      </c>
      <c r="F107" s="76">
        <f t="shared" ref="F107:H107" si="98">+F108</f>
        <v>0</v>
      </c>
      <c r="G107" s="76">
        <f t="shared" si="98"/>
        <v>0</v>
      </c>
      <c r="H107" s="76">
        <f t="shared" si="98"/>
        <v>0</v>
      </c>
      <c r="I107" s="76">
        <f t="shared" si="96"/>
        <v>3886862565</v>
      </c>
      <c r="J107" s="76">
        <f>+J108+J109</f>
        <v>0</v>
      </c>
      <c r="K107" s="76">
        <f t="shared" ref="K107:U107" si="99">+K108+K109</f>
        <v>0</v>
      </c>
      <c r="L107" s="76">
        <f t="shared" si="99"/>
        <v>0</v>
      </c>
      <c r="M107" s="76">
        <f t="shared" si="99"/>
        <v>0</v>
      </c>
      <c r="N107" s="76">
        <f t="shared" si="99"/>
        <v>0</v>
      </c>
      <c r="O107" s="76">
        <f t="shared" si="99"/>
        <v>2332117539</v>
      </c>
      <c r="P107" s="76">
        <f t="shared" si="99"/>
        <v>0</v>
      </c>
      <c r="Q107" s="76">
        <f t="shared" si="99"/>
        <v>0</v>
      </c>
      <c r="R107" s="76">
        <f t="shared" si="99"/>
        <v>0</v>
      </c>
      <c r="S107" s="76">
        <f t="shared" si="99"/>
        <v>0</v>
      </c>
      <c r="T107" s="76">
        <f t="shared" si="99"/>
        <v>0</v>
      </c>
      <c r="U107" s="76">
        <f t="shared" si="99"/>
        <v>1554745026</v>
      </c>
      <c r="V107" s="76">
        <f t="shared" si="84"/>
        <v>3886862565</v>
      </c>
      <c r="W107" s="64"/>
    </row>
    <row r="108" spans="1:66" s="29" customFormat="1" ht="12.75" customHeight="1" x14ac:dyDescent="0.2">
      <c r="A108" s="158"/>
      <c r="B108" s="7" t="s">
        <v>153</v>
      </c>
      <c r="C108" s="6" t="s">
        <v>107</v>
      </c>
      <c r="D108" s="79">
        <v>3187673559.8000002</v>
      </c>
      <c r="E108" s="72">
        <f>SUM(E109:E110)</f>
        <v>0</v>
      </c>
      <c r="F108" s="72">
        <f>SUM(F109:F110)</f>
        <v>0</v>
      </c>
      <c r="G108" s="72">
        <f>SUM(G109:G110)</f>
        <v>0</v>
      </c>
      <c r="H108" s="72">
        <f>SUM(H109:H110)</f>
        <v>0</v>
      </c>
      <c r="I108" s="79">
        <f t="shared" si="96"/>
        <v>3187673559.8000002</v>
      </c>
      <c r="J108" s="83">
        <v>0</v>
      </c>
      <c r="K108" s="83">
        <v>0</v>
      </c>
      <c r="L108" s="83">
        <v>0</v>
      </c>
      <c r="M108" s="83">
        <v>0</v>
      </c>
      <c r="N108" s="83">
        <v>0</v>
      </c>
      <c r="O108" s="96">
        <v>1912604135.8800001</v>
      </c>
      <c r="P108" s="63">
        <v>0</v>
      </c>
      <c r="Q108" s="63">
        <v>0</v>
      </c>
      <c r="R108" s="63">
        <v>0</v>
      </c>
      <c r="S108" s="63">
        <v>0</v>
      </c>
      <c r="T108" s="63">
        <v>0</v>
      </c>
      <c r="U108" s="63">
        <v>1275069423.9200001</v>
      </c>
      <c r="V108" s="63">
        <f t="shared" si="84"/>
        <v>3187673559.8000002</v>
      </c>
      <c r="W108" s="64"/>
      <c r="Z108" s="64"/>
      <c r="AA108" s="64"/>
      <c r="AB108" s="64"/>
      <c r="AC108" s="64"/>
      <c r="AD108" s="64"/>
      <c r="AE108" s="64"/>
      <c r="AF108" s="64"/>
    </row>
    <row r="109" spans="1:66" s="29" customFormat="1" ht="12.75" customHeight="1" x14ac:dyDescent="0.2">
      <c r="A109" s="158"/>
      <c r="B109" s="7" t="s">
        <v>154</v>
      </c>
      <c r="C109" s="6" t="s">
        <v>53</v>
      </c>
      <c r="D109" s="79">
        <v>699189005.20000005</v>
      </c>
      <c r="E109" s="79">
        <v>0</v>
      </c>
      <c r="F109" s="79">
        <v>0</v>
      </c>
      <c r="G109" s="79">
        <v>0</v>
      </c>
      <c r="H109" s="79">
        <v>0</v>
      </c>
      <c r="I109" s="79">
        <f t="shared" si="96"/>
        <v>699189005.20000005</v>
      </c>
      <c r="J109" s="83">
        <v>0</v>
      </c>
      <c r="K109" s="83">
        <v>0</v>
      </c>
      <c r="L109" s="63">
        <v>0</v>
      </c>
      <c r="M109" s="63">
        <v>0</v>
      </c>
      <c r="N109" s="63">
        <v>0</v>
      </c>
      <c r="O109" s="63">
        <v>419513403.12</v>
      </c>
      <c r="P109" s="63">
        <v>0</v>
      </c>
      <c r="Q109" s="63">
        <v>0</v>
      </c>
      <c r="R109" s="63">
        <v>0</v>
      </c>
      <c r="S109" s="63">
        <v>0</v>
      </c>
      <c r="T109" s="63">
        <v>0</v>
      </c>
      <c r="U109" s="63">
        <v>279675602.08000004</v>
      </c>
      <c r="V109" s="63">
        <f t="shared" si="84"/>
        <v>699189005.20000005</v>
      </c>
      <c r="W109" s="64"/>
    </row>
    <row r="110" spans="1:66" s="29" customFormat="1" x14ac:dyDescent="0.2">
      <c r="A110" s="158"/>
      <c r="B110" s="24" t="s">
        <v>110</v>
      </c>
      <c r="C110" s="27" t="s">
        <v>56</v>
      </c>
      <c r="D110" s="74">
        <f>+D111</f>
        <v>1500000000</v>
      </c>
      <c r="E110" s="74">
        <f t="shared" ref="E110:H110" si="100">+E111</f>
        <v>0</v>
      </c>
      <c r="F110" s="74">
        <f t="shared" si="100"/>
        <v>0</v>
      </c>
      <c r="G110" s="74">
        <f t="shared" si="100"/>
        <v>0</v>
      </c>
      <c r="H110" s="74">
        <f t="shared" si="100"/>
        <v>0</v>
      </c>
      <c r="I110" s="74">
        <f>+D110+E110-F110+G110-H110</f>
        <v>1500000000</v>
      </c>
      <c r="J110" s="74">
        <f>+J111</f>
        <v>0</v>
      </c>
      <c r="K110" s="74">
        <f t="shared" ref="K110:U110" si="101">+K111</f>
        <v>250000000</v>
      </c>
      <c r="L110" s="74">
        <f t="shared" si="101"/>
        <v>250000000</v>
      </c>
      <c r="M110" s="74">
        <f t="shared" si="101"/>
        <v>250000000</v>
      </c>
      <c r="N110" s="74">
        <f t="shared" si="101"/>
        <v>250000000</v>
      </c>
      <c r="O110" s="74">
        <f t="shared" si="101"/>
        <v>250000000</v>
      </c>
      <c r="P110" s="74">
        <f t="shared" si="101"/>
        <v>250000000</v>
      </c>
      <c r="Q110" s="74">
        <f t="shared" si="101"/>
        <v>0</v>
      </c>
      <c r="R110" s="74">
        <f t="shared" si="101"/>
        <v>0</v>
      </c>
      <c r="S110" s="74">
        <f t="shared" si="101"/>
        <v>0</v>
      </c>
      <c r="T110" s="74">
        <f t="shared" si="101"/>
        <v>0</v>
      </c>
      <c r="U110" s="74">
        <f t="shared" si="101"/>
        <v>0</v>
      </c>
      <c r="V110" s="74">
        <f>SUM(J110:U110)</f>
        <v>1500000000</v>
      </c>
      <c r="W110" s="64"/>
    </row>
    <row r="111" spans="1:66" s="30" customFormat="1" ht="127.5" customHeight="1" x14ac:dyDescent="0.2">
      <c r="A111" s="159"/>
      <c r="B111" s="23" t="s">
        <v>155</v>
      </c>
      <c r="C111" s="93" t="s">
        <v>199</v>
      </c>
      <c r="D111" s="76">
        <f>D112</f>
        <v>1500000000</v>
      </c>
      <c r="E111" s="76">
        <f>E112</f>
        <v>0</v>
      </c>
      <c r="F111" s="76">
        <f t="shared" ref="F111:H111" si="102">F112</f>
        <v>0</v>
      </c>
      <c r="G111" s="76">
        <f t="shared" si="102"/>
        <v>0</v>
      </c>
      <c r="H111" s="76">
        <f t="shared" si="102"/>
        <v>0</v>
      </c>
      <c r="I111" s="76">
        <f t="shared" ref="I111:I112" si="103">+D111+E111-F111+G111-H111</f>
        <v>1500000000</v>
      </c>
      <c r="J111" s="76">
        <f>J112</f>
        <v>0</v>
      </c>
      <c r="K111" s="76">
        <f t="shared" ref="K111:U111" si="104">K112</f>
        <v>250000000</v>
      </c>
      <c r="L111" s="76">
        <f t="shared" si="104"/>
        <v>250000000</v>
      </c>
      <c r="M111" s="76">
        <f t="shared" si="104"/>
        <v>250000000</v>
      </c>
      <c r="N111" s="76">
        <f t="shared" si="104"/>
        <v>250000000</v>
      </c>
      <c r="O111" s="76">
        <f t="shared" si="104"/>
        <v>250000000</v>
      </c>
      <c r="P111" s="76">
        <f t="shared" si="104"/>
        <v>250000000</v>
      </c>
      <c r="Q111" s="76">
        <f t="shared" si="104"/>
        <v>0</v>
      </c>
      <c r="R111" s="76">
        <f t="shared" si="104"/>
        <v>0</v>
      </c>
      <c r="S111" s="76">
        <f t="shared" si="104"/>
        <v>0</v>
      </c>
      <c r="T111" s="76">
        <f t="shared" si="104"/>
        <v>0</v>
      </c>
      <c r="U111" s="76">
        <f t="shared" si="104"/>
        <v>0</v>
      </c>
      <c r="V111" s="76">
        <f t="shared" si="84"/>
        <v>1500000000</v>
      </c>
      <c r="W111" s="64"/>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row>
    <row r="112" spans="1:66" s="29" customFormat="1" ht="12.75" customHeight="1" x14ac:dyDescent="0.2">
      <c r="A112" s="158"/>
      <c r="B112" s="92" t="s">
        <v>156</v>
      </c>
      <c r="C112" s="6" t="s">
        <v>53</v>
      </c>
      <c r="D112" s="79">
        <v>1500000000</v>
      </c>
      <c r="E112" s="79">
        <v>0</v>
      </c>
      <c r="F112" s="79">
        <v>0</v>
      </c>
      <c r="G112" s="79">
        <v>0</v>
      </c>
      <c r="H112" s="79">
        <v>0</v>
      </c>
      <c r="I112" s="79">
        <f t="shared" si="103"/>
        <v>1500000000</v>
      </c>
      <c r="J112" s="63">
        <v>0</v>
      </c>
      <c r="K112" s="96">
        <v>250000000</v>
      </c>
      <c r="L112" s="63">
        <v>250000000</v>
      </c>
      <c r="M112" s="63">
        <v>250000000</v>
      </c>
      <c r="N112" s="65">
        <v>250000000</v>
      </c>
      <c r="O112" s="96">
        <v>250000000</v>
      </c>
      <c r="P112" s="96">
        <v>250000000</v>
      </c>
      <c r="Q112" s="83">
        <v>0</v>
      </c>
      <c r="R112" s="83">
        <v>0</v>
      </c>
      <c r="S112" s="83">
        <v>0</v>
      </c>
      <c r="T112" s="83">
        <v>0</v>
      </c>
      <c r="U112" s="83">
        <v>0</v>
      </c>
      <c r="V112" s="65">
        <f t="shared" si="84"/>
        <v>1500000000</v>
      </c>
      <c r="W112" s="64"/>
    </row>
    <row r="113" spans="1:66" s="26" customFormat="1" x14ac:dyDescent="0.2">
      <c r="A113" s="157"/>
      <c r="B113" s="7"/>
      <c r="C113" s="172" t="s">
        <v>45</v>
      </c>
      <c r="D113" s="72">
        <f>D114+D123</f>
        <v>96287719324.70993</v>
      </c>
      <c r="E113" s="83">
        <f>SUM(E114:E114)</f>
        <v>0</v>
      </c>
      <c r="F113" s="83">
        <f>SUM(F114:F114)</f>
        <v>0</v>
      </c>
      <c r="G113" s="83">
        <f>SUM(G114:G114)</f>
        <v>0</v>
      </c>
      <c r="H113" s="83">
        <f>SUM(H114:H114)</f>
        <v>0</v>
      </c>
      <c r="I113" s="83">
        <f>I114+I123</f>
        <v>96287719324.70993</v>
      </c>
      <c r="J113" s="83">
        <f t="shared" ref="J113:O113" si="105">SUM(J114:J114)</f>
        <v>0</v>
      </c>
      <c r="K113" s="84">
        <f t="shared" si="105"/>
        <v>37590000.019999996</v>
      </c>
      <c r="L113" s="84">
        <f t="shared" si="105"/>
        <v>502297650</v>
      </c>
      <c r="M113" s="84">
        <f t="shared" si="105"/>
        <v>7930000</v>
      </c>
      <c r="N113" s="84">
        <f t="shared" si="105"/>
        <v>7930000</v>
      </c>
      <c r="O113" s="84">
        <f t="shared" si="105"/>
        <v>7930000</v>
      </c>
      <c r="P113" s="83">
        <v>0</v>
      </c>
      <c r="Q113" s="83">
        <v>0</v>
      </c>
      <c r="R113" s="83">
        <v>0</v>
      </c>
      <c r="S113" s="83">
        <v>0</v>
      </c>
      <c r="T113" s="83">
        <v>0</v>
      </c>
      <c r="U113" s="83">
        <v>0</v>
      </c>
      <c r="V113" s="84">
        <f t="shared" si="84"/>
        <v>563677650.01999998</v>
      </c>
      <c r="W113" s="64"/>
    </row>
    <row r="114" spans="1:66" s="32" customFormat="1" x14ac:dyDescent="0.2">
      <c r="A114" s="159" t="s">
        <v>297</v>
      </c>
      <c r="B114" s="31"/>
      <c r="C114" s="178" t="s">
        <v>19</v>
      </c>
      <c r="D114" s="85">
        <f>D115+D116+D117+D118+D119+D120+D121+D122</f>
        <v>563677650.01999998</v>
      </c>
      <c r="E114" s="85"/>
      <c r="F114" s="85"/>
      <c r="G114" s="85"/>
      <c r="H114" s="85"/>
      <c r="I114" s="85">
        <f>D114+E114-F114+G114-H114</f>
        <v>563677650.01999998</v>
      </c>
      <c r="J114" s="85">
        <f>J115+J116+J117+J118+J119+J120+J121+J122</f>
        <v>0</v>
      </c>
      <c r="K114" s="85">
        <f>K115+K116+K117+K118+K119+K120+K121+K122</f>
        <v>37590000.019999996</v>
      </c>
      <c r="L114" s="85">
        <f t="shared" ref="L114:V114" si="106">L115+L116+L117+L118+L119+L120+L121+L122</f>
        <v>502297650</v>
      </c>
      <c r="M114" s="85">
        <f t="shared" si="106"/>
        <v>7930000</v>
      </c>
      <c r="N114" s="85">
        <f t="shared" si="106"/>
        <v>7930000</v>
      </c>
      <c r="O114" s="85">
        <f t="shared" si="106"/>
        <v>7930000</v>
      </c>
      <c r="P114" s="85">
        <f t="shared" si="106"/>
        <v>0</v>
      </c>
      <c r="Q114" s="85">
        <f t="shared" si="106"/>
        <v>0</v>
      </c>
      <c r="R114" s="85">
        <f t="shared" si="106"/>
        <v>0</v>
      </c>
      <c r="S114" s="85">
        <f t="shared" si="106"/>
        <v>0</v>
      </c>
      <c r="T114" s="85">
        <f t="shared" si="106"/>
        <v>0</v>
      </c>
      <c r="U114" s="85">
        <f t="shared" si="106"/>
        <v>0</v>
      </c>
      <c r="V114" s="85">
        <f t="shared" si="106"/>
        <v>563677650.01999998</v>
      </c>
      <c r="W114" s="64"/>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c r="AV114" s="29"/>
      <c r="AW114" s="29"/>
      <c r="AX114" s="29"/>
      <c r="AY114" s="29"/>
      <c r="AZ114" s="29"/>
      <c r="BA114" s="29"/>
      <c r="BB114" s="29"/>
      <c r="BC114" s="29"/>
      <c r="BD114" s="29"/>
      <c r="BE114" s="29"/>
      <c r="BF114" s="29"/>
      <c r="BG114" s="29"/>
      <c r="BH114" s="29"/>
      <c r="BI114" s="29"/>
      <c r="BJ114" s="29"/>
      <c r="BK114" s="29"/>
      <c r="BL114" s="29"/>
      <c r="BM114" s="29"/>
      <c r="BN114" s="29"/>
    </row>
    <row r="115" spans="1:66" s="29" customFormat="1" ht="20.25" customHeight="1" x14ac:dyDescent="0.2">
      <c r="A115" s="152">
        <v>919</v>
      </c>
      <c r="B115" s="146" t="s">
        <v>190</v>
      </c>
      <c r="C115" s="165" t="s">
        <v>102</v>
      </c>
      <c r="D115" s="96">
        <v>9880000</v>
      </c>
      <c r="E115" s="83">
        <v>0</v>
      </c>
      <c r="F115" s="83">
        <v>0</v>
      </c>
      <c r="G115" s="83">
        <v>0</v>
      </c>
      <c r="H115" s="83">
        <v>0</v>
      </c>
      <c r="I115" s="96">
        <f>D115+E115-F115+G115-H115</f>
        <v>9880000</v>
      </c>
      <c r="J115" s="83">
        <v>0</v>
      </c>
      <c r="K115" s="96">
        <v>9880000</v>
      </c>
      <c r="L115" s="83">
        <v>0</v>
      </c>
      <c r="M115" s="83">
        <v>0</v>
      </c>
      <c r="N115" s="83">
        <v>0</v>
      </c>
      <c r="O115" s="83">
        <v>0</v>
      </c>
      <c r="P115" s="83">
        <v>0</v>
      </c>
      <c r="Q115" s="83">
        <v>0</v>
      </c>
      <c r="R115" s="83">
        <v>0</v>
      </c>
      <c r="S115" s="83">
        <v>0</v>
      </c>
      <c r="T115" s="83">
        <v>0</v>
      </c>
      <c r="U115" s="83">
        <v>0</v>
      </c>
      <c r="V115" s="96">
        <f>J115+K115+L115+M115+N115+O115+P115+Q115+R115+S115+T115+U115</f>
        <v>9880000</v>
      </c>
      <c r="W115" s="64"/>
    </row>
    <row r="116" spans="1:66" s="29" customFormat="1" x14ac:dyDescent="0.2">
      <c r="A116" s="152">
        <v>1151</v>
      </c>
      <c r="B116" s="146" t="s">
        <v>190</v>
      </c>
      <c r="C116" s="165" t="s">
        <v>102</v>
      </c>
      <c r="D116" s="96">
        <v>1250000</v>
      </c>
      <c r="E116" s="83">
        <v>0</v>
      </c>
      <c r="F116" s="83">
        <v>0</v>
      </c>
      <c r="G116" s="83">
        <v>0</v>
      </c>
      <c r="H116" s="83">
        <v>0</v>
      </c>
      <c r="I116" s="96">
        <f>D116+E116-F116+G116-H116</f>
        <v>1250000</v>
      </c>
      <c r="J116" s="83">
        <v>0</v>
      </c>
      <c r="K116" s="96">
        <v>1250000</v>
      </c>
      <c r="L116" s="83">
        <v>0</v>
      </c>
      <c r="M116" s="83">
        <v>0</v>
      </c>
      <c r="N116" s="83">
        <v>0</v>
      </c>
      <c r="O116" s="83">
        <v>0</v>
      </c>
      <c r="P116" s="83">
        <v>0</v>
      </c>
      <c r="Q116" s="83">
        <v>0</v>
      </c>
      <c r="R116" s="83">
        <v>0</v>
      </c>
      <c r="S116" s="83">
        <v>0</v>
      </c>
      <c r="T116" s="83">
        <v>0</v>
      </c>
      <c r="U116" s="83">
        <v>0</v>
      </c>
      <c r="V116" s="96">
        <f>J116+K116+L116+M116+N116+O116+P116+Q116+R116+S116+T116+U116</f>
        <v>1250000</v>
      </c>
      <c r="W116" s="64"/>
    </row>
    <row r="117" spans="1:66" s="29" customFormat="1" ht="24" x14ac:dyDescent="0.2">
      <c r="A117" s="152">
        <v>1226</v>
      </c>
      <c r="B117" s="146" t="s">
        <v>113</v>
      </c>
      <c r="C117" s="165" t="s">
        <v>101</v>
      </c>
      <c r="D117" s="96">
        <v>4000000.02</v>
      </c>
      <c r="E117" s="83">
        <v>0</v>
      </c>
      <c r="F117" s="83">
        <v>0</v>
      </c>
      <c r="G117" s="83">
        <v>0</v>
      </c>
      <c r="H117" s="83">
        <v>0</v>
      </c>
      <c r="I117" s="96">
        <f>D117+E117-F117+G117-H117</f>
        <v>4000000.02</v>
      </c>
      <c r="J117" s="83">
        <v>0</v>
      </c>
      <c r="K117" s="96">
        <v>4000000.02</v>
      </c>
      <c r="L117" s="83">
        <v>0</v>
      </c>
      <c r="M117" s="83">
        <v>0</v>
      </c>
      <c r="N117" s="83">
        <v>0</v>
      </c>
      <c r="O117" s="83">
        <v>0</v>
      </c>
      <c r="P117" s="83">
        <v>0</v>
      </c>
      <c r="Q117" s="83">
        <v>0</v>
      </c>
      <c r="R117" s="83">
        <v>0</v>
      </c>
      <c r="S117" s="83">
        <v>0</v>
      </c>
      <c r="T117" s="83">
        <v>0</v>
      </c>
      <c r="U117" s="83">
        <v>0</v>
      </c>
      <c r="V117" s="96">
        <f t="shared" ref="V117:V122" si="107">J117+K117+L117+M117+N117+O117+P117+Q117+R117+S117+T117+U117</f>
        <v>4000000.02</v>
      </c>
      <c r="W117" s="64"/>
    </row>
    <row r="118" spans="1:66" s="29" customFormat="1" ht="23.25" customHeight="1" x14ac:dyDescent="0.2">
      <c r="A118" s="152">
        <v>1227</v>
      </c>
      <c r="B118" s="146" t="s">
        <v>208</v>
      </c>
      <c r="C118" s="165" t="s">
        <v>101</v>
      </c>
      <c r="D118" s="96">
        <v>6600000</v>
      </c>
      <c r="E118" s="83">
        <v>0</v>
      </c>
      <c r="F118" s="83">
        <v>0</v>
      </c>
      <c r="G118" s="83">
        <v>0</v>
      </c>
      <c r="H118" s="83">
        <v>0</v>
      </c>
      <c r="I118" s="96">
        <f t="shared" ref="I118:I122" si="108">D118+E118-F118+G118-H118</f>
        <v>6600000</v>
      </c>
      <c r="J118" s="83">
        <v>0</v>
      </c>
      <c r="K118" s="96">
        <v>6600000</v>
      </c>
      <c r="L118" s="83">
        <v>0</v>
      </c>
      <c r="M118" s="83">
        <v>0</v>
      </c>
      <c r="N118" s="83">
        <v>0</v>
      </c>
      <c r="O118" s="83">
        <v>0</v>
      </c>
      <c r="P118" s="83">
        <v>0</v>
      </c>
      <c r="Q118" s="83">
        <v>0</v>
      </c>
      <c r="R118" s="83">
        <v>0</v>
      </c>
      <c r="S118" s="83">
        <v>0</v>
      </c>
      <c r="T118" s="83">
        <v>0</v>
      </c>
      <c r="U118" s="83">
        <v>0</v>
      </c>
      <c r="V118" s="96">
        <f t="shared" si="107"/>
        <v>6600000</v>
      </c>
      <c r="W118" s="64"/>
    </row>
    <row r="119" spans="1:66" s="29" customFormat="1" x14ac:dyDescent="0.2">
      <c r="A119" s="152">
        <v>1562</v>
      </c>
      <c r="B119" s="146" t="s">
        <v>114</v>
      </c>
      <c r="C119" s="165" t="s">
        <v>102</v>
      </c>
      <c r="D119" s="96">
        <v>47580000</v>
      </c>
      <c r="E119" s="83">
        <v>0</v>
      </c>
      <c r="F119" s="83">
        <v>0</v>
      </c>
      <c r="G119" s="83">
        <v>0</v>
      </c>
      <c r="H119" s="83">
        <v>0</v>
      </c>
      <c r="I119" s="96">
        <f t="shared" si="108"/>
        <v>47580000</v>
      </c>
      <c r="J119" s="83">
        <v>0</v>
      </c>
      <c r="K119" s="96">
        <f>7930000+7930000</f>
        <v>15860000</v>
      </c>
      <c r="L119" s="96">
        <v>7930000</v>
      </c>
      <c r="M119" s="96">
        <v>7930000</v>
      </c>
      <c r="N119" s="96">
        <v>7930000</v>
      </c>
      <c r="O119" s="96">
        <v>7930000</v>
      </c>
      <c r="P119" s="83">
        <v>0</v>
      </c>
      <c r="Q119" s="83">
        <v>0</v>
      </c>
      <c r="R119" s="83">
        <v>0</v>
      </c>
      <c r="S119" s="83">
        <v>0</v>
      </c>
      <c r="T119" s="83">
        <v>0</v>
      </c>
      <c r="U119" s="83">
        <v>0</v>
      </c>
      <c r="V119" s="96">
        <f t="shared" si="107"/>
        <v>47580000</v>
      </c>
      <c r="W119" s="64"/>
    </row>
    <row r="120" spans="1:66" s="29" customFormat="1" x14ac:dyDescent="0.2">
      <c r="A120" s="152">
        <v>1643</v>
      </c>
      <c r="B120" s="146" t="s">
        <v>117</v>
      </c>
      <c r="C120" s="165" t="s">
        <v>248</v>
      </c>
      <c r="D120" s="96">
        <v>199811628.59</v>
      </c>
      <c r="E120" s="83">
        <v>0</v>
      </c>
      <c r="F120" s="83">
        <v>0</v>
      </c>
      <c r="G120" s="83">
        <v>0</v>
      </c>
      <c r="H120" s="83">
        <v>0</v>
      </c>
      <c r="I120" s="96">
        <f t="shared" si="108"/>
        <v>199811628.59</v>
      </c>
      <c r="J120" s="83">
        <v>0</v>
      </c>
      <c r="K120" s="83">
        <v>0</v>
      </c>
      <c r="L120" s="96">
        <v>199811628.59</v>
      </c>
      <c r="M120" s="83">
        <v>0</v>
      </c>
      <c r="N120" s="83">
        <v>0</v>
      </c>
      <c r="O120" s="83">
        <v>0</v>
      </c>
      <c r="P120" s="83">
        <v>0</v>
      </c>
      <c r="Q120" s="83">
        <v>0</v>
      </c>
      <c r="R120" s="83">
        <v>0</v>
      </c>
      <c r="S120" s="83">
        <v>0</v>
      </c>
      <c r="T120" s="83">
        <v>0</v>
      </c>
      <c r="U120" s="83">
        <v>0</v>
      </c>
      <c r="V120" s="96">
        <f t="shared" si="107"/>
        <v>199811628.59</v>
      </c>
      <c r="W120" s="64"/>
    </row>
    <row r="121" spans="1:66" s="29" customFormat="1" x14ac:dyDescent="0.2">
      <c r="A121" s="152">
        <v>1644</v>
      </c>
      <c r="B121" s="146" t="s">
        <v>204</v>
      </c>
      <c r="C121" s="165" t="s">
        <v>248</v>
      </c>
      <c r="D121" s="96">
        <v>284242688.41000003</v>
      </c>
      <c r="E121" s="83">
        <v>0</v>
      </c>
      <c r="F121" s="83">
        <v>0</v>
      </c>
      <c r="G121" s="83">
        <v>0</v>
      </c>
      <c r="H121" s="83">
        <v>0</v>
      </c>
      <c r="I121" s="96">
        <f t="shared" si="108"/>
        <v>284242688.41000003</v>
      </c>
      <c r="J121" s="83">
        <v>0</v>
      </c>
      <c r="K121" s="83">
        <v>0</v>
      </c>
      <c r="L121" s="96">
        <v>284242688.41000003</v>
      </c>
      <c r="M121" s="83">
        <v>0</v>
      </c>
      <c r="N121" s="83">
        <v>0</v>
      </c>
      <c r="O121" s="83">
        <v>0</v>
      </c>
      <c r="P121" s="83">
        <v>0</v>
      </c>
      <c r="Q121" s="83">
        <v>0</v>
      </c>
      <c r="R121" s="83">
        <v>0</v>
      </c>
      <c r="S121" s="83">
        <v>0</v>
      </c>
      <c r="T121" s="83">
        <v>0</v>
      </c>
      <c r="U121" s="83">
        <v>0</v>
      </c>
      <c r="V121" s="96">
        <f t="shared" si="107"/>
        <v>284242688.41000003</v>
      </c>
      <c r="W121" s="64"/>
    </row>
    <row r="122" spans="1:66" s="29" customFormat="1" x14ac:dyDescent="0.2">
      <c r="A122" s="152">
        <v>1645</v>
      </c>
      <c r="B122" s="146" t="s">
        <v>114</v>
      </c>
      <c r="C122" s="165" t="s">
        <v>102</v>
      </c>
      <c r="D122" s="96">
        <v>10313333</v>
      </c>
      <c r="E122" s="83">
        <v>0</v>
      </c>
      <c r="F122" s="83">
        <v>0</v>
      </c>
      <c r="G122" s="83">
        <v>0</v>
      </c>
      <c r="H122" s="83">
        <v>0</v>
      </c>
      <c r="I122" s="96">
        <f t="shared" si="108"/>
        <v>10313333</v>
      </c>
      <c r="J122" s="83">
        <v>0</v>
      </c>
      <c r="K122" s="83">
        <v>0</v>
      </c>
      <c r="L122" s="96">
        <v>10313333</v>
      </c>
      <c r="M122" s="83">
        <v>0</v>
      </c>
      <c r="N122" s="83">
        <v>0</v>
      </c>
      <c r="O122" s="83">
        <v>0</v>
      </c>
      <c r="P122" s="83">
        <v>0</v>
      </c>
      <c r="Q122" s="83">
        <v>0</v>
      </c>
      <c r="R122" s="83">
        <v>0</v>
      </c>
      <c r="S122" s="83">
        <v>0</v>
      </c>
      <c r="T122" s="83">
        <v>0</v>
      </c>
      <c r="U122" s="83">
        <v>0</v>
      </c>
      <c r="V122" s="96">
        <f t="shared" si="107"/>
        <v>10313333</v>
      </c>
      <c r="W122" s="64"/>
    </row>
    <row r="123" spans="1:66" s="26" customFormat="1" x14ac:dyDescent="0.2">
      <c r="A123" s="157"/>
      <c r="B123" s="31"/>
      <c r="C123" s="178" t="s">
        <v>20</v>
      </c>
      <c r="D123" s="85">
        <f>SUM(D124:D245)</f>
        <v>95724041674.689926</v>
      </c>
      <c r="E123" s="85">
        <f t="shared" ref="E123:U123" si="109">SUM(E124:E245)</f>
        <v>0</v>
      </c>
      <c r="F123" s="85">
        <f t="shared" si="109"/>
        <v>0</v>
      </c>
      <c r="G123" s="85">
        <f t="shared" si="109"/>
        <v>0</v>
      </c>
      <c r="H123" s="85">
        <f t="shared" si="109"/>
        <v>0</v>
      </c>
      <c r="I123" s="85">
        <f t="shared" si="109"/>
        <v>95724041674.689926</v>
      </c>
      <c r="J123" s="85">
        <f t="shared" si="109"/>
        <v>0</v>
      </c>
      <c r="K123" s="85">
        <f t="shared" si="109"/>
        <v>8554181942.5568466</v>
      </c>
      <c r="L123" s="85">
        <f t="shared" si="109"/>
        <v>10090072080.201843</v>
      </c>
      <c r="M123" s="85">
        <f t="shared" si="109"/>
        <v>6868537164.5568476</v>
      </c>
      <c r="N123" s="85">
        <f t="shared" si="109"/>
        <v>10117942931.081848</v>
      </c>
      <c r="O123" s="85">
        <f t="shared" si="109"/>
        <v>8391916036.1930981</v>
      </c>
      <c r="P123" s="85">
        <f t="shared" si="109"/>
        <v>6588300297.8862982</v>
      </c>
      <c r="Q123" s="85">
        <f t="shared" si="109"/>
        <v>5898009074.9387999</v>
      </c>
      <c r="R123" s="85">
        <f t="shared" si="109"/>
        <v>5861684217.6487999</v>
      </c>
      <c r="S123" s="85">
        <f t="shared" si="109"/>
        <v>5861684217.6487999</v>
      </c>
      <c r="T123" s="85">
        <f t="shared" si="109"/>
        <v>5773474676.5657997</v>
      </c>
      <c r="U123" s="85">
        <f t="shared" si="109"/>
        <v>21718239035.414001</v>
      </c>
      <c r="V123" s="75">
        <f t="shared" si="84"/>
        <v>95724041674.692978</v>
      </c>
      <c r="W123" s="64">
        <f>I123-V123</f>
        <v>-3.0517578125E-3</v>
      </c>
    </row>
    <row r="124" spans="1:66" x14ac:dyDescent="0.2">
      <c r="A124" s="160">
        <v>1</v>
      </c>
      <c r="B124" s="9" t="s">
        <v>151</v>
      </c>
      <c r="C124" s="8" t="s">
        <v>249</v>
      </c>
      <c r="D124" s="86">
        <v>14505783332.620001</v>
      </c>
      <c r="E124" s="88">
        <v>0</v>
      </c>
      <c r="F124" s="88">
        <v>0</v>
      </c>
      <c r="G124" s="88">
        <v>0</v>
      </c>
      <c r="H124" s="88">
        <v>0</v>
      </c>
      <c r="I124" s="147">
        <f t="shared" ref="I124:I154" si="110">D124+E124-F124+G124-H124</f>
        <v>14505783332.620001</v>
      </c>
      <c r="J124" s="147">
        <v>0</v>
      </c>
      <c r="K124" s="147">
        <v>1305520499.9358001</v>
      </c>
      <c r="L124" s="147">
        <v>1305520499.9358001</v>
      </c>
      <c r="M124" s="147">
        <v>1305520499.9358001</v>
      </c>
      <c r="N124" s="147">
        <v>1305520499.9358001</v>
      </c>
      <c r="O124" s="147">
        <v>1305520499.9358001</v>
      </c>
      <c r="P124" s="147">
        <v>1305520499.9358001</v>
      </c>
      <c r="Q124" s="147">
        <v>1305520499.9358001</v>
      </c>
      <c r="R124" s="147">
        <v>1305520499.9358001</v>
      </c>
      <c r="S124" s="147">
        <v>1305520499.9358001</v>
      </c>
      <c r="T124" s="147">
        <v>1305520499.9358001</v>
      </c>
      <c r="U124" s="147">
        <v>1450578333.2619991</v>
      </c>
      <c r="V124" s="88">
        <f>J124+K124+L124+M124+N124+O124+P124+Q124+R124+S124+T124+U124</f>
        <v>14505783332.620003</v>
      </c>
      <c r="W124" s="64">
        <f>I124-V124</f>
        <v>0</v>
      </c>
    </row>
    <row r="125" spans="1:66" x14ac:dyDescent="0.2">
      <c r="A125" s="160">
        <v>2</v>
      </c>
      <c r="B125" s="9" t="s">
        <v>197</v>
      </c>
      <c r="C125" s="8" t="s">
        <v>107</v>
      </c>
      <c r="D125" s="86">
        <v>63827916809</v>
      </c>
      <c r="E125" s="88">
        <v>0</v>
      </c>
      <c r="F125" s="88">
        <v>0</v>
      </c>
      <c r="G125" s="88">
        <v>0</v>
      </c>
      <c r="H125" s="88">
        <v>0</v>
      </c>
      <c r="I125" s="147">
        <f t="shared" si="110"/>
        <v>63827916809</v>
      </c>
      <c r="J125" s="147">
        <v>0</v>
      </c>
      <c r="K125" s="147">
        <v>4467954176.6299992</v>
      </c>
      <c r="L125" s="147">
        <v>4467954176.6299992</v>
      </c>
      <c r="M125" s="147">
        <v>4467954176.6299992</v>
      </c>
      <c r="N125" s="147">
        <v>4467954176.6299992</v>
      </c>
      <c r="O125" s="147">
        <v>4467954176.6299992</v>
      </c>
      <c r="P125" s="147">
        <v>4467954176.6299992</v>
      </c>
      <c r="Q125" s="147">
        <v>4467954176.6299992</v>
      </c>
      <c r="R125" s="147">
        <v>4467954176.6299992</v>
      </c>
      <c r="S125" s="147">
        <v>4467954176.6299992</v>
      </c>
      <c r="T125" s="147">
        <v>4467954176.6299992</v>
      </c>
      <c r="U125" s="147">
        <v>19148375042.700005</v>
      </c>
      <c r="V125" s="88">
        <f>J125+K125+L125+M125+N125+O125+P125+Q125+R125+S125+T125+U125</f>
        <v>63827916808.999985</v>
      </c>
      <c r="W125" s="64">
        <f t="shared" ref="W125:W188" si="111">I125-V125</f>
        <v>0</v>
      </c>
    </row>
    <row r="126" spans="1:66" x14ac:dyDescent="0.2">
      <c r="A126" s="160">
        <v>3</v>
      </c>
      <c r="B126" s="9" t="s">
        <v>250</v>
      </c>
      <c r="C126" s="8" t="s">
        <v>249</v>
      </c>
      <c r="D126" s="86">
        <v>490554655.33999997</v>
      </c>
      <c r="E126" s="88">
        <v>0</v>
      </c>
      <c r="F126" s="88">
        <v>0</v>
      </c>
      <c r="G126" s="88">
        <v>0</v>
      </c>
      <c r="H126" s="88">
        <v>0</v>
      </c>
      <c r="I126" s="147">
        <f t="shared" si="110"/>
        <v>490554655.33999997</v>
      </c>
      <c r="J126" s="147">
        <v>0</v>
      </c>
      <c r="K126" s="147">
        <v>73583198.300999999</v>
      </c>
      <c r="L126" s="147">
        <v>73583198.300999999</v>
      </c>
      <c r="M126" s="147">
        <v>73583198.300999999</v>
      </c>
      <c r="N126" s="147">
        <v>73583198.300999999</v>
      </c>
      <c r="O126" s="147">
        <v>73583198.300999999</v>
      </c>
      <c r="P126" s="147">
        <v>73583198.300999999</v>
      </c>
      <c r="Q126" s="147">
        <v>0</v>
      </c>
      <c r="R126" s="147">
        <v>0</v>
      </c>
      <c r="S126" s="147">
        <v>0</v>
      </c>
      <c r="T126" s="147">
        <v>0</v>
      </c>
      <c r="U126" s="147">
        <v>49055465.533999979</v>
      </c>
      <c r="V126" s="88">
        <f t="shared" ref="V126:V189" si="112">J126+K126+L126+M126+N126+O126+P126+Q126+R126+S126+T126+U126</f>
        <v>490554655.33999997</v>
      </c>
      <c r="W126" s="64">
        <f t="shared" si="111"/>
        <v>0</v>
      </c>
    </row>
    <row r="127" spans="1:66" x14ac:dyDescent="0.2">
      <c r="A127" s="160">
        <v>4</v>
      </c>
      <c r="B127" s="9" t="s">
        <v>251</v>
      </c>
      <c r="C127" s="8" t="s">
        <v>107</v>
      </c>
      <c r="D127" s="86">
        <v>2102462019.4000001</v>
      </c>
      <c r="E127" s="88">
        <v>0</v>
      </c>
      <c r="F127" s="88">
        <v>0</v>
      </c>
      <c r="G127" s="88">
        <v>0</v>
      </c>
      <c r="H127" s="88">
        <v>0</v>
      </c>
      <c r="I127" s="147">
        <f t="shared" si="110"/>
        <v>2102462019.4000001</v>
      </c>
      <c r="J127" s="147">
        <v>0</v>
      </c>
      <c r="K127" s="147">
        <v>315369302.91000003</v>
      </c>
      <c r="L127" s="147">
        <v>315369302.91000003</v>
      </c>
      <c r="M127" s="147">
        <v>315369302.91000003</v>
      </c>
      <c r="N127" s="147">
        <v>315369302.91000003</v>
      </c>
      <c r="O127" s="147">
        <v>315369302.91000003</v>
      </c>
      <c r="P127" s="147">
        <v>315369302.91000003</v>
      </c>
      <c r="Q127" s="147">
        <v>0</v>
      </c>
      <c r="R127" s="147">
        <v>0</v>
      </c>
      <c r="S127" s="147">
        <v>0</v>
      </c>
      <c r="T127" s="147">
        <v>0</v>
      </c>
      <c r="U127" s="147">
        <v>210246201.94000006</v>
      </c>
      <c r="V127" s="88">
        <f t="shared" si="112"/>
        <v>2102462019.4000003</v>
      </c>
      <c r="W127" s="64">
        <f t="shared" si="111"/>
        <v>0</v>
      </c>
    </row>
    <row r="128" spans="1:66" x14ac:dyDescent="0.2">
      <c r="A128" s="160">
        <v>5</v>
      </c>
      <c r="B128" s="9" t="s">
        <v>251</v>
      </c>
      <c r="C128" s="8" t="s">
        <v>107</v>
      </c>
      <c r="D128" s="86">
        <v>125749927.59999999</v>
      </c>
      <c r="E128" s="88">
        <v>0</v>
      </c>
      <c r="F128" s="88">
        <v>0</v>
      </c>
      <c r="G128" s="88">
        <v>0</v>
      </c>
      <c r="H128" s="88">
        <v>0</v>
      </c>
      <c r="I128" s="147">
        <f t="shared" si="110"/>
        <v>125749927.59999999</v>
      </c>
      <c r="J128" s="147">
        <v>0</v>
      </c>
      <c r="K128" s="147">
        <v>18862489.140000001</v>
      </c>
      <c r="L128" s="147">
        <v>18862489.140000001</v>
      </c>
      <c r="M128" s="147">
        <v>18862489.140000001</v>
      </c>
      <c r="N128" s="147">
        <v>18862489.140000001</v>
      </c>
      <c r="O128" s="147">
        <v>18862489.140000001</v>
      </c>
      <c r="P128" s="147">
        <v>18862489.140000001</v>
      </c>
      <c r="Q128" s="147">
        <v>0</v>
      </c>
      <c r="R128" s="147">
        <v>0</v>
      </c>
      <c r="S128" s="147">
        <v>0</v>
      </c>
      <c r="T128" s="147">
        <v>0</v>
      </c>
      <c r="U128" s="147">
        <v>12574992.75999999</v>
      </c>
      <c r="V128" s="88">
        <f t="shared" si="112"/>
        <v>125749927.59999999</v>
      </c>
      <c r="W128" s="64">
        <f t="shared" si="111"/>
        <v>0</v>
      </c>
    </row>
    <row r="129" spans="1:23" ht="32.25" customHeight="1" x14ac:dyDescent="0.2">
      <c r="A129" s="160">
        <v>6</v>
      </c>
      <c r="B129" s="9" t="s">
        <v>252</v>
      </c>
      <c r="C129" s="8" t="s">
        <v>253</v>
      </c>
      <c r="D129" s="86">
        <v>9048000</v>
      </c>
      <c r="E129" s="88">
        <v>0</v>
      </c>
      <c r="F129" s="88">
        <v>0</v>
      </c>
      <c r="G129" s="88">
        <v>0</v>
      </c>
      <c r="H129" s="88">
        <v>0</v>
      </c>
      <c r="I129" s="147">
        <f t="shared" si="110"/>
        <v>9048000</v>
      </c>
      <c r="J129" s="147">
        <v>0</v>
      </c>
      <c r="K129" s="147">
        <v>9048000</v>
      </c>
      <c r="L129" s="147">
        <v>0</v>
      </c>
      <c r="M129" s="147">
        <v>0</v>
      </c>
      <c r="N129" s="147">
        <v>0</v>
      </c>
      <c r="O129" s="147">
        <v>0</v>
      </c>
      <c r="P129" s="147">
        <v>0</v>
      </c>
      <c r="Q129" s="147">
        <v>0</v>
      </c>
      <c r="R129" s="147">
        <v>0</v>
      </c>
      <c r="S129" s="147">
        <v>0</v>
      </c>
      <c r="T129" s="147">
        <v>0</v>
      </c>
      <c r="U129" s="147">
        <v>0</v>
      </c>
      <c r="V129" s="88">
        <f t="shared" si="112"/>
        <v>9048000</v>
      </c>
      <c r="W129" s="64">
        <f t="shared" si="111"/>
        <v>0</v>
      </c>
    </row>
    <row r="130" spans="1:23" ht="30" customHeight="1" x14ac:dyDescent="0.2">
      <c r="A130" s="160">
        <v>7</v>
      </c>
      <c r="B130" s="9" t="s">
        <v>252</v>
      </c>
      <c r="C130" s="8" t="s">
        <v>253</v>
      </c>
      <c r="D130" s="86">
        <v>12000000</v>
      </c>
      <c r="E130" s="88">
        <v>0</v>
      </c>
      <c r="F130" s="88">
        <v>0</v>
      </c>
      <c r="G130" s="88">
        <v>0</v>
      </c>
      <c r="H130" s="88">
        <v>0</v>
      </c>
      <c r="I130" s="147">
        <f t="shared" si="110"/>
        <v>12000000</v>
      </c>
      <c r="J130" s="147">
        <v>0</v>
      </c>
      <c r="K130" s="147">
        <v>12000000</v>
      </c>
      <c r="L130" s="147">
        <v>0</v>
      </c>
      <c r="M130" s="147">
        <v>0</v>
      </c>
      <c r="N130" s="147">
        <v>0</v>
      </c>
      <c r="O130" s="147">
        <v>0</v>
      </c>
      <c r="P130" s="147">
        <v>0</v>
      </c>
      <c r="Q130" s="147">
        <v>0</v>
      </c>
      <c r="R130" s="147">
        <v>0</v>
      </c>
      <c r="S130" s="147">
        <v>0</v>
      </c>
      <c r="T130" s="147">
        <v>0</v>
      </c>
      <c r="U130" s="147">
        <v>0</v>
      </c>
      <c r="V130" s="88">
        <f t="shared" si="112"/>
        <v>12000000</v>
      </c>
      <c r="W130" s="64">
        <f t="shared" si="111"/>
        <v>0</v>
      </c>
    </row>
    <row r="131" spans="1:23" ht="27.75" customHeight="1" x14ac:dyDescent="0.2">
      <c r="A131" s="160">
        <v>8</v>
      </c>
      <c r="B131" s="9" t="s">
        <v>254</v>
      </c>
      <c r="C131" s="8" t="s">
        <v>102</v>
      </c>
      <c r="D131" s="86">
        <v>41974000</v>
      </c>
      <c r="E131" s="88">
        <v>0</v>
      </c>
      <c r="F131" s="88">
        <v>0</v>
      </c>
      <c r="G131" s="88">
        <v>0</v>
      </c>
      <c r="H131" s="88">
        <v>0</v>
      </c>
      <c r="I131" s="147">
        <f t="shared" si="110"/>
        <v>41974000</v>
      </c>
      <c r="J131" s="147">
        <v>0</v>
      </c>
      <c r="K131" s="147">
        <v>6770000</v>
      </c>
      <c r="L131" s="147">
        <v>6770000</v>
      </c>
      <c r="M131" s="147">
        <v>6770000</v>
      </c>
      <c r="N131" s="147">
        <v>6770000</v>
      </c>
      <c r="O131" s="147">
        <v>6770000</v>
      </c>
      <c r="P131" s="147">
        <v>6770000</v>
      </c>
      <c r="Q131" s="147">
        <v>1354000</v>
      </c>
      <c r="R131" s="147">
        <v>0</v>
      </c>
      <c r="S131" s="147">
        <v>0</v>
      </c>
      <c r="T131" s="147">
        <v>0</v>
      </c>
      <c r="U131" s="147">
        <v>0</v>
      </c>
      <c r="V131" s="88">
        <f t="shared" si="112"/>
        <v>41974000</v>
      </c>
      <c r="W131" s="64">
        <f t="shared" si="111"/>
        <v>0</v>
      </c>
    </row>
    <row r="132" spans="1:23" x14ac:dyDescent="0.2">
      <c r="A132" s="160">
        <v>364</v>
      </c>
      <c r="B132" s="9" t="s">
        <v>147</v>
      </c>
      <c r="C132" s="8" t="s">
        <v>249</v>
      </c>
      <c r="D132" s="86">
        <v>6876100.2000000002</v>
      </c>
      <c r="E132" s="88">
        <v>0</v>
      </c>
      <c r="F132" s="88">
        <v>0</v>
      </c>
      <c r="G132" s="88">
        <v>0</v>
      </c>
      <c r="H132" s="88">
        <v>0</v>
      </c>
      <c r="I132" s="147">
        <f t="shared" si="110"/>
        <v>6876100.2000000002</v>
      </c>
      <c r="J132" s="147">
        <v>0</v>
      </c>
      <c r="K132" s="147">
        <v>0</v>
      </c>
      <c r="L132" s="147">
        <f t="shared" ref="L132:L149" si="113">+I132</f>
        <v>6876100.2000000002</v>
      </c>
      <c r="M132" s="147">
        <v>0</v>
      </c>
      <c r="N132" s="147">
        <v>0</v>
      </c>
      <c r="O132" s="147">
        <v>0</v>
      </c>
      <c r="P132" s="147">
        <v>0</v>
      </c>
      <c r="Q132" s="147">
        <v>0</v>
      </c>
      <c r="R132" s="147">
        <v>0</v>
      </c>
      <c r="S132" s="147">
        <v>0</v>
      </c>
      <c r="T132" s="147">
        <v>0</v>
      </c>
      <c r="U132" s="147">
        <v>0</v>
      </c>
      <c r="V132" s="88">
        <f t="shared" si="112"/>
        <v>6876100.2000000002</v>
      </c>
      <c r="W132" s="64">
        <f t="shared" si="111"/>
        <v>0</v>
      </c>
    </row>
    <row r="133" spans="1:23" x14ac:dyDescent="0.2">
      <c r="A133" s="160">
        <v>365</v>
      </c>
      <c r="B133" s="9" t="s">
        <v>147</v>
      </c>
      <c r="C133" s="8" t="s">
        <v>249</v>
      </c>
      <c r="D133" s="86">
        <v>3257285.1</v>
      </c>
      <c r="E133" s="88">
        <v>0</v>
      </c>
      <c r="F133" s="88">
        <v>0</v>
      </c>
      <c r="G133" s="88">
        <v>0</v>
      </c>
      <c r="H133" s="88">
        <v>0</v>
      </c>
      <c r="I133" s="147">
        <f t="shared" si="110"/>
        <v>3257285.1</v>
      </c>
      <c r="J133" s="147">
        <v>0</v>
      </c>
      <c r="K133" s="147">
        <v>0</v>
      </c>
      <c r="L133" s="147">
        <f t="shared" si="113"/>
        <v>3257285.1</v>
      </c>
      <c r="M133" s="147">
        <v>0</v>
      </c>
      <c r="N133" s="147">
        <v>0</v>
      </c>
      <c r="O133" s="147">
        <v>0</v>
      </c>
      <c r="P133" s="147">
        <v>0</v>
      </c>
      <c r="Q133" s="147">
        <v>0</v>
      </c>
      <c r="R133" s="147">
        <v>0</v>
      </c>
      <c r="S133" s="147">
        <v>0</v>
      </c>
      <c r="T133" s="147">
        <v>0</v>
      </c>
      <c r="U133" s="147">
        <v>0</v>
      </c>
      <c r="V133" s="147">
        <f t="shared" si="112"/>
        <v>3257285.1</v>
      </c>
      <c r="W133" s="64">
        <f t="shared" si="111"/>
        <v>0</v>
      </c>
    </row>
    <row r="134" spans="1:23" x14ac:dyDescent="0.2">
      <c r="A134" s="160">
        <v>366</v>
      </c>
      <c r="B134" s="9" t="s">
        <v>147</v>
      </c>
      <c r="C134" s="8" t="s">
        <v>249</v>
      </c>
      <c r="D134" s="86">
        <v>6296011</v>
      </c>
      <c r="E134" s="88">
        <v>0</v>
      </c>
      <c r="F134" s="88">
        <v>0</v>
      </c>
      <c r="G134" s="88">
        <v>0</v>
      </c>
      <c r="H134" s="88">
        <v>0</v>
      </c>
      <c r="I134" s="147">
        <f t="shared" si="110"/>
        <v>6296011</v>
      </c>
      <c r="J134" s="147">
        <v>0</v>
      </c>
      <c r="K134" s="147">
        <v>0</v>
      </c>
      <c r="L134" s="147">
        <f t="shared" si="113"/>
        <v>6296011</v>
      </c>
      <c r="M134" s="147">
        <v>0</v>
      </c>
      <c r="N134" s="147">
        <v>0</v>
      </c>
      <c r="O134" s="147">
        <v>0</v>
      </c>
      <c r="P134" s="147">
        <v>0</v>
      </c>
      <c r="Q134" s="147">
        <v>0</v>
      </c>
      <c r="R134" s="147">
        <v>0</v>
      </c>
      <c r="S134" s="147">
        <v>0</v>
      </c>
      <c r="T134" s="147">
        <v>0</v>
      </c>
      <c r="U134" s="147">
        <v>0</v>
      </c>
      <c r="V134" s="88">
        <f t="shared" si="112"/>
        <v>6296011</v>
      </c>
      <c r="W134" s="64">
        <f t="shared" si="111"/>
        <v>0</v>
      </c>
    </row>
    <row r="135" spans="1:23" x14ac:dyDescent="0.2">
      <c r="A135" s="160">
        <v>368</v>
      </c>
      <c r="B135" s="9" t="s">
        <v>147</v>
      </c>
      <c r="C135" s="8" t="s">
        <v>249</v>
      </c>
      <c r="D135" s="86">
        <v>4080139.7</v>
      </c>
      <c r="E135" s="88">
        <v>0</v>
      </c>
      <c r="F135" s="88">
        <v>0</v>
      </c>
      <c r="G135" s="88">
        <v>0</v>
      </c>
      <c r="H135" s="88">
        <v>0</v>
      </c>
      <c r="I135" s="147">
        <f t="shared" si="110"/>
        <v>4080139.7</v>
      </c>
      <c r="J135" s="147">
        <v>0</v>
      </c>
      <c r="K135" s="147">
        <v>0</v>
      </c>
      <c r="L135" s="147">
        <f t="shared" si="113"/>
        <v>4080139.7</v>
      </c>
      <c r="M135" s="147">
        <v>0</v>
      </c>
      <c r="N135" s="147">
        <v>0</v>
      </c>
      <c r="O135" s="147">
        <v>0</v>
      </c>
      <c r="P135" s="147">
        <v>0</v>
      </c>
      <c r="Q135" s="147">
        <v>0</v>
      </c>
      <c r="R135" s="147">
        <v>0</v>
      </c>
      <c r="S135" s="147">
        <v>0</v>
      </c>
      <c r="T135" s="147">
        <v>0</v>
      </c>
      <c r="U135" s="147">
        <v>0</v>
      </c>
      <c r="V135" s="88">
        <f t="shared" si="112"/>
        <v>4080139.7</v>
      </c>
      <c r="W135" s="64">
        <f t="shared" si="111"/>
        <v>0</v>
      </c>
    </row>
    <row r="136" spans="1:23" x14ac:dyDescent="0.2">
      <c r="A136" s="160">
        <v>369</v>
      </c>
      <c r="B136" s="9" t="s">
        <v>147</v>
      </c>
      <c r="C136" s="8" t="s">
        <v>249</v>
      </c>
      <c r="D136" s="86">
        <v>3220647.9</v>
      </c>
      <c r="E136" s="88">
        <v>0</v>
      </c>
      <c r="F136" s="88">
        <v>0</v>
      </c>
      <c r="G136" s="88">
        <v>0</v>
      </c>
      <c r="H136" s="88">
        <v>0</v>
      </c>
      <c r="I136" s="147">
        <f t="shared" si="110"/>
        <v>3220647.9</v>
      </c>
      <c r="J136" s="147">
        <v>0</v>
      </c>
      <c r="K136" s="147">
        <v>0</v>
      </c>
      <c r="L136" s="147">
        <f t="shared" si="113"/>
        <v>3220647.9</v>
      </c>
      <c r="M136" s="147">
        <v>0</v>
      </c>
      <c r="N136" s="147">
        <v>0</v>
      </c>
      <c r="O136" s="147">
        <v>0</v>
      </c>
      <c r="P136" s="147">
        <v>0</v>
      </c>
      <c r="Q136" s="147">
        <v>0</v>
      </c>
      <c r="R136" s="147">
        <v>0</v>
      </c>
      <c r="S136" s="147">
        <v>0</v>
      </c>
      <c r="T136" s="147">
        <v>0</v>
      </c>
      <c r="U136" s="147">
        <v>0</v>
      </c>
      <c r="V136" s="88">
        <f t="shared" si="112"/>
        <v>3220647.9</v>
      </c>
      <c r="W136" s="64">
        <f t="shared" si="111"/>
        <v>0</v>
      </c>
    </row>
    <row r="137" spans="1:23" x14ac:dyDescent="0.2">
      <c r="A137" s="160">
        <v>370</v>
      </c>
      <c r="B137" s="9" t="s">
        <v>147</v>
      </c>
      <c r="C137" s="8" t="s">
        <v>249</v>
      </c>
      <c r="D137" s="86">
        <v>8956108.3000000007</v>
      </c>
      <c r="E137" s="88">
        <v>0</v>
      </c>
      <c r="F137" s="88">
        <v>0</v>
      </c>
      <c r="G137" s="88">
        <v>0</v>
      </c>
      <c r="H137" s="88">
        <v>0</v>
      </c>
      <c r="I137" s="147">
        <f t="shared" si="110"/>
        <v>8956108.3000000007</v>
      </c>
      <c r="J137" s="147">
        <v>0</v>
      </c>
      <c r="K137" s="147">
        <v>0</v>
      </c>
      <c r="L137" s="147">
        <f t="shared" si="113"/>
        <v>8956108.3000000007</v>
      </c>
      <c r="M137" s="147">
        <v>0</v>
      </c>
      <c r="N137" s="147">
        <v>0</v>
      </c>
      <c r="O137" s="147">
        <v>0</v>
      </c>
      <c r="P137" s="147">
        <v>0</v>
      </c>
      <c r="Q137" s="147">
        <v>0</v>
      </c>
      <c r="R137" s="147">
        <v>0</v>
      </c>
      <c r="S137" s="147">
        <v>0</v>
      </c>
      <c r="T137" s="147">
        <v>0</v>
      </c>
      <c r="U137" s="147">
        <v>0</v>
      </c>
      <c r="V137" s="88">
        <f t="shared" si="112"/>
        <v>8956108.3000000007</v>
      </c>
      <c r="W137" s="64">
        <f t="shared" si="111"/>
        <v>0</v>
      </c>
    </row>
    <row r="138" spans="1:23" x14ac:dyDescent="0.2">
      <c r="A138" s="160">
        <v>371</v>
      </c>
      <c r="B138" s="9" t="s">
        <v>147</v>
      </c>
      <c r="C138" s="8" t="s">
        <v>249</v>
      </c>
      <c r="D138" s="86">
        <v>7358477.2000000002</v>
      </c>
      <c r="E138" s="88">
        <v>0</v>
      </c>
      <c r="F138" s="88">
        <v>0</v>
      </c>
      <c r="G138" s="88">
        <v>0</v>
      </c>
      <c r="H138" s="88">
        <v>0</v>
      </c>
      <c r="I138" s="147">
        <f t="shared" si="110"/>
        <v>7358477.2000000002</v>
      </c>
      <c r="J138" s="147">
        <v>0</v>
      </c>
      <c r="K138" s="147">
        <v>0</v>
      </c>
      <c r="L138" s="147">
        <f t="shared" si="113"/>
        <v>7358477.2000000002</v>
      </c>
      <c r="M138" s="147">
        <v>0</v>
      </c>
      <c r="N138" s="147">
        <v>0</v>
      </c>
      <c r="O138" s="147">
        <v>0</v>
      </c>
      <c r="P138" s="147">
        <v>0</v>
      </c>
      <c r="Q138" s="147">
        <v>0</v>
      </c>
      <c r="R138" s="147">
        <v>0</v>
      </c>
      <c r="S138" s="147">
        <v>0</v>
      </c>
      <c r="T138" s="147">
        <v>0</v>
      </c>
      <c r="U138" s="147">
        <v>0</v>
      </c>
      <c r="V138" s="88">
        <f t="shared" si="112"/>
        <v>7358477.2000000002</v>
      </c>
      <c r="W138" s="64">
        <f t="shared" si="111"/>
        <v>0</v>
      </c>
    </row>
    <row r="139" spans="1:23" x14ac:dyDescent="0.2">
      <c r="A139" s="160">
        <v>373</v>
      </c>
      <c r="B139" s="9" t="s">
        <v>147</v>
      </c>
      <c r="C139" s="8" t="s">
        <v>249</v>
      </c>
      <c r="D139" s="86">
        <v>4019503.7</v>
      </c>
      <c r="E139" s="88">
        <v>0</v>
      </c>
      <c r="F139" s="88">
        <v>0</v>
      </c>
      <c r="G139" s="88">
        <v>0</v>
      </c>
      <c r="H139" s="88">
        <v>0</v>
      </c>
      <c r="I139" s="147">
        <f t="shared" si="110"/>
        <v>4019503.7</v>
      </c>
      <c r="J139" s="147">
        <v>0</v>
      </c>
      <c r="K139" s="147">
        <v>0</v>
      </c>
      <c r="L139" s="147">
        <f t="shared" si="113"/>
        <v>4019503.7</v>
      </c>
      <c r="M139" s="147">
        <v>0</v>
      </c>
      <c r="N139" s="147">
        <v>0</v>
      </c>
      <c r="O139" s="147">
        <v>0</v>
      </c>
      <c r="P139" s="147">
        <v>0</v>
      </c>
      <c r="Q139" s="147">
        <v>0</v>
      </c>
      <c r="R139" s="147">
        <v>0</v>
      </c>
      <c r="S139" s="147">
        <v>0</v>
      </c>
      <c r="T139" s="147">
        <v>0</v>
      </c>
      <c r="U139" s="147">
        <v>0</v>
      </c>
      <c r="V139" s="88">
        <f t="shared" si="112"/>
        <v>4019503.7</v>
      </c>
      <c r="W139" s="64">
        <f t="shared" si="111"/>
        <v>0</v>
      </c>
    </row>
    <row r="140" spans="1:23" x14ac:dyDescent="0.2">
      <c r="A140" s="160">
        <v>374</v>
      </c>
      <c r="B140" s="9" t="s">
        <v>147</v>
      </c>
      <c r="C140" s="8" t="s">
        <v>249</v>
      </c>
      <c r="D140" s="86">
        <v>3230653.9</v>
      </c>
      <c r="E140" s="88">
        <v>0</v>
      </c>
      <c r="F140" s="88">
        <v>0</v>
      </c>
      <c r="G140" s="88">
        <v>0</v>
      </c>
      <c r="H140" s="88">
        <v>0</v>
      </c>
      <c r="I140" s="147">
        <f t="shared" si="110"/>
        <v>3230653.9</v>
      </c>
      <c r="J140" s="147">
        <v>0</v>
      </c>
      <c r="K140" s="147">
        <v>0</v>
      </c>
      <c r="L140" s="147">
        <f t="shared" si="113"/>
        <v>3230653.9</v>
      </c>
      <c r="M140" s="147">
        <v>0</v>
      </c>
      <c r="N140" s="147">
        <v>0</v>
      </c>
      <c r="O140" s="147">
        <v>0</v>
      </c>
      <c r="P140" s="147">
        <v>0</v>
      </c>
      <c r="Q140" s="147">
        <v>0</v>
      </c>
      <c r="R140" s="147">
        <v>0</v>
      </c>
      <c r="S140" s="147">
        <v>0</v>
      </c>
      <c r="T140" s="147">
        <v>0</v>
      </c>
      <c r="U140" s="147">
        <v>0</v>
      </c>
      <c r="V140" s="88">
        <f t="shared" si="112"/>
        <v>3230653.9</v>
      </c>
      <c r="W140" s="64">
        <f t="shared" si="111"/>
        <v>0</v>
      </c>
    </row>
    <row r="141" spans="1:23" x14ac:dyDescent="0.2">
      <c r="A141" s="160">
        <v>375</v>
      </c>
      <c r="B141" s="9" t="s">
        <v>147</v>
      </c>
      <c r="C141" s="8" t="s">
        <v>249</v>
      </c>
      <c r="D141" s="86">
        <v>3193728.1</v>
      </c>
      <c r="E141" s="88">
        <v>0</v>
      </c>
      <c r="F141" s="88">
        <v>0</v>
      </c>
      <c r="G141" s="88">
        <v>0</v>
      </c>
      <c r="H141" s="88">
        <v>0</v>
      </c>
      <c r="I141" s="147">
        <f t="shared" si="110"/>
        <v>3193728.1</v>
      </c>
      <c r="J141" s="147">
        <v>0</v>
      </c>
      <c r="K141" s="147">
        <v>0</v>
      </c>
      <c r="L141" s="147">
        <f t="shared" si="113"/>
        <v>3193728.1</v>
      </c>
      <c r="M141" s="147">
        <v>0</v>
      </c>
      <c r="N141" s="147">
        <v>0</v>
      </c>
      <c r="O141" s="147">
        <v>0</v>
      </c>
      <c r="P141" s="147">
        <v>0</v>
      </c>
      <c r="Q141" s="147">
        <v>0</v>
      </c>
      <c r="R141" s="147">
        <v>0</v>
      </c>
      <c r="S141" s="147">
        <v>0</v>
      </c>
      <c r="T141" s="147">
        <v>0</v>
      </c>
      <c r="U141" s="147">
        <v>0</v>
      </c>
      <c r="V141" s="147">
        <f t="shared" si="112"/>
        <v>3193728.1</v>
      </c>
      <c r="W141" s="64">
        <f t="shared" si="111"/>
        <v>0</v>
      </c>
    </row>
    <row r="142" spans="1:23" x14ac:dyDescent="0.2">
      <c r="A142" s="160">
        <v>385</v>
      </c>
      <c r="B142" s="9" t="s">
        <v>147</v>
      </c>
      <c r="C142" s="8" t="s">
        <v>249</v>
      </c>
      <c r="D142" s="86">
        <v>3805855.9</v>
      </c>
      <c r="E142" s="88">
        <v>0</v>
      </c>
      <c r="F142" s="88">
        <v>0</v>
      </c>
      <c r="G142" s="88">
        <v>0</v>
      </c>
      <c r="H142" s="88">
        <v>0</v>
      </c>
      <c r="I142" s="147">
        <f t="shared" si="110"/>
        <v>3805855.9</v>
      </c>
      <c r="J142" s="147">
        <v>0</v>
      </c>
      <c r="K142" s="147">
        <v>0</v>
      </c>
      <c r="L142" s="147">
        <f t="shared" si="113"/>
        <v>3805855.9</v>
      </c>
      <c r="M142" s="147">
        <v>0</v>
      </c>
      <c r="N142" s="147">
        <v>0</v>
      </c>
      <c r="O142" s="147">
        <v>0</v>
      </c>
      <c r="P142" s="147">
        <v>0</v>
      </c>
      <c r="Q142" s="147">
        <v>0</v>
      </c>
      <c r="R142" s="147">
        <v>0</v>
      </c>
      <c r="S142" s="147">
        <v>0</v>
      </c>
      <c r="T142" s="147">
        <v>0</v>
      </c>
      <c r="U142" s="147">
        <v>0</v>
      </c>
      <c r="V142" s="88">
        <f t="shared" si="112"/>
        <v>3805855.9</v>
      </c>
      <c r="W142" s="64">
        <f t="shared" si="111"/>
        <v>0</v>
      </c>
    </row>
    <row r="143" spans="1:23" x14ac:dyDescent="0.2">
      <c r="A143" s="160">
        <v>386</v>
      </c>
      <c r="B143" s="9" t="s">
        <v>147</v>
      </c>
      <c r="C143" s="8" t="s">
        <v>249</v>
      </c>
      <c r="D143" s="86">
        <v>6766437.5</v>
      </c>
      <c r="E143" s="88">
        <v>0</v>
      </c>
      <c r="F143" s="88">
        <v>0</v>
      </c>
      <c r="G143" s="88">
        <v>0</v>
      </c>
      <c r="H143" s="88">
        <v>0</v>
      </c>
      <c r="I143" s="147">
        <f t="shared" si="110"/>
        <v>6766437.5</v>
      </c>
      <c r="J143" s="147">
        <v>0</v>
      </c>
      <c r="K143" s="147">
        <v>0</v>
      </c>
      <c r="L143" s="147">
        <f t="shared" si="113"/>
        <v>6766437.5</v>
      </c>
      <c r="M143" s="147">
        <v>0</v>
      </c>
      <c r="N143" s="147">
        <v>0</v>
      </c>
      <c r="O143" s="147">
        <v>0</v>
      </c>
      <c r="P143" s="147">
        <v>0</v>
      </c>
      <c r="Q143" s="147">
        <v>0</v>
      </c>
      <c r="R143" s="147">
        <v>0</v>
      </c>
      <c r="S143" s="147">
        <v>0</v>
      </c>
      <c r="T143" s="147">
        <v>0</v>
      </c>
      <c r="U143" s="147">
        <v>0</v>
      </c>
      <c r="V143" s="88">
        <f t="shared" si="112"/>
        <v>6766437.5</v>
      </c>
      <c r="W143" s="64">
        <f t="shared" si="111"/>
        <v>0</v>
      </c>
    </row>
    <row r="144" spans="1:23" x14ac:dyDescent="0.2">
      <c r="A144" s="160">
        <v>387</v>
      </c>
      <c r="B144" s="9" t="s">
        <v>147</v>
      </c>
      <c r="C144" s="8" t="s">
        <v>249</v>
      </c>
      <c r="D144" s="86">
        <v>4018250.3</v>
      </c>
      <c r="E144" s="88">
        <v>0</v>
      </c>
      <c r="F144" s="88">
        <v>0</v>
      </c>
      <c r="G144" s="88">
        <v>0</v>
      </c>
      <c r="H144" s="88">
        <v>0</v>
      </c>
      <c r="I144" s="147">
        <f t="shared" si="110"/>
        <v>4018250.3</v>
      </c>
      <c r="J144" s="147">
        <v>0</v>
      </c>
      <c r="K144" s="147">
        <v>0</v>
      </c>
      <c r="L144" s="147">
        <f t="shared" si="113"/>
        <v>4018250.3</v>
      </c>
      <c r="M144" s="147">
        <v>0</v>
      </c>
      <c r="N144" s="147">
        <v>0</v>
      </c>
      <c r="O144" s="147">
        <v>0</v>
      </c>
      <c r="P144" s="147">
        <v>0</v>
      </c>
      <c r="Q144" s="147">
        <v>0</v>
      </c>
      <c r="R144" s="147">
        <v>0</v>
      </c>
      <c r="S144" s="147">
        <v>0</v>
      </c>
      <c r="T144" s="147">
        <v>0</v>
      </c>
      <c r="U144" s="147">
        <v>0</v>
      </c>
      <c r="V144" s="147">
        <f t="shared" si="112"/>
        <v>4018250.3</v>
      </c>
      <c r="W144" s="64">
        <f t="shared" si="111"/>
        <v>0</v>
      </c>
    </row>
    <row r="145" spans="1:24" x14ac:dyDescent="0.2">
      <c r="A145" s="160">
        <v>388</v>
      </c>
      <c r="B145" s="9" t="s">
        <v>147</v>
      </c>
      <c r="C145" s="8" t="s">
        <v>249</v>
      </c>
      <c r="D145" s="86">
        <v>3613194.6</v>
      </c>
      <c r="E145" s="88">
        <v>0</v>
      </c>
      <c r="F145" s="88">
        <v>0</v>
      </c>
      <c r="G145" s="88">
        <v>0</v>
      </c>
      <c r="H145" s="88">
        <v>0</v>
      </c>
      <c r="I145" s="147">
        <f t="shared" si="110"/>
        <v>3613194.6</v>
      </c>
      <c r="J145" s="147">
        <v>0</v>
      </c>
      <c r="K145" s="147">
        <v>0</v>
      </c>
      <c r="L145" s="147">
        <f t="shared" si="113"/>
        <v>3613194.6</v>
      </c>
      <c r="M145" s="147">
        <v>0</v>
      </c>
      <c r="N145" s="147">
        <v>0</v>
      </c>
      <c r="O145" s="147">
        <v>0</v>
      </c>
      <c r="P145" s="147">
        <v>0</v>
      </c>
      <c r="Q145" s="147">
        <v>0</v>
      </c>
      <c r="R145" s="147">
        <v>0</v>
      </c>
      <c r="S145" s="147">
        <v>0</v>
      </c>
      <c r="T145" s="147">
        <v>0</v>
      </c>
      <c r="U145" s="147">
        <v>0</v>
      </c>
      <c r="V145" s="88">
        <f t="shared" si="112"/>
        <v>3613194.6</v>
      </c>
      <c r="W145" s="64">
        <f t="shared" si="111"/>
        <v>0</v>
      </c>
    </row>
    <row r="146" spans="1:24" x14ac:dyDescent="0.2">
      <c r="A146" s="160">
        <v>389</v>
      </c>
      <c r="B146" s="9" t="s">
        <v>147</v>
      </c>
      <c r="C146" s="8" t="s">
        <v>249</v>
      </c>
      <c r="D146" s="86">
        <v>3189595.8</v>
      </c>
      <c r="E146" s="88">
        <v>0</v>
      </c>
      <c r="F146" s="88">
        <v>0</v>
      </c>
      <c r="G146" s="88">
        <v>0</v>
      </c>
      <c r="H146" s="88">
        <v>0</v>
      </c>
      <c r="I146" s="147">
        <f t="shared" si="110"/>
        <v>3189595.8</v>
      </c>
      <c r="J146" s="147">
        <v>0</v>
      </c>
      <c r="K146" s="147">
        <v>0</v>
      </c>
      <c r="L146" s="147">
        <f t="shared" si="113"/>
        <v>3189595.8</v>
      </c>
      <c r="M146" s="147">
        <v>0</v>
      </c>
      <c r="N146" s="147">
        <v>0</v>
      </c>
      <c r="O146" s="147">
        <v>0</v>
      </c>
      <c r="P146" s="147">
        <v>0</v>
      </c>
      <c r="Q146" s="147">
        <v>0</v>
      </c>
      <c r="R146" s="147">
        <v>0</v>
      </c>
      <c r="S146" s="147">
        <v>0</v>
      </c>
      <c r="T146" s="147">
        <v>0</v>
      </c>
      <c r="U146" s="147">
        <v>0</v>
      </c>
      <c r="V146" s="88">
        <f t="shared" si="112"/>
        <v>3189595.8</v>
      </c>
      <c r="W146" s="64">
        <f t="shared" si="111"/>
        <v>0</v>
      </c>
    </row>
    <row r="147" spans="1:24" x14ac:dyDescent="0.2">
      <c r="A147" s="160">
        <v>400</v>
      </c>
      <c r="B147" s="9" t="s">
        <v>147</v>
      </c>
      <c r="C147" s="8" t="s">
        <v>249</v>
      </c>
      <c r="D147" s="86">
        <v>3746506.4</v>
      </c>
      <c r="E147" s="88">
        <v>0</v>
      </c>
      <c r="F147" s="88">
        <v>0</v>
      </c>
      <c r="G147" s="88">
        <v>0</v>
      </c>
      <c r="H147" s="88">
        <v>0</v>
      </c>
      <c r="I147" s="147">
        <f t="shared" si="110"/>
        <v>3746506.4</v>
      </c>
      <c r="J147" s="147">
        <v>0</v>
      </c>
      <c r="K147" s="147">
        <v>0</v>
      </c>
      <c r="L147" s="88">
        <f t="shared" si="113"/>
        <v>3746506.4</v>
      </c>
      <c r="M147" s="147">
        <v>0</v>
      </c>
      <c r="N147" s="147">
        <v>0</v>
      </c>
      <c r="O147" s="147">
        <v>0</v>
      </c>
      <c r="P147" s="147">
        <v>0</v>
      </c>
      <c r="Q147" s="147">
        <v>0</v>
      </c>
      <c r="R147" s="147">
        <v>0</v>
      </c>
      <c r="S147" s="147">
        <v>0</v>
      </c>
      <c r="T147" s="147">
        <v>0</v>
      </c>
      <c r="U147" s="147">
        <v>0</v>
      </c>
      <c r="V147" s="88">
        <f t="shared" si="112"/>
        <v>3746506.4</v>
      </c>
      <c r="W147" s="64">
        <f t="shared" si="111"/>
        <v>0</v>
      </c>
    </row>
    <row r="148" spans="1:24" x14ac:dyDescent="0.2">
      <c r="A148" s="160">
        <v>405</v>
      </c>
      <c r="B148" s="9" t="s">
        <v>147</v>
      </c>
      <c r="C148" s="8" t="s">
        <v>249</v>
      </c>
      <c r="D148" s="86">
        <v>3239743.6</v>
      </c>
      <c r="E148" s="88">
        <v>0</v>
      </c>
      <c r="F148" s="88">
        <v>0</v>
      </c>
      <c r="G148" s="88">
        <v>0</v>
      </c>
      <c r="H148" s="88">
        <v>0</v>
      </c>
      <c r="I148" s="147">
        <f t="shared" si="110"/>
        <v>3239743.6</v>
      </c>
      <c r="J148" s="147">
        <v>0</v>
      </c>
      <c r="K148" s="147">
        <v>0</v>
      </c>
      <c r="L148" s="88">
        <f t="shared" si="113"/>
        <v>3239743.6</v>
      </c>
      <c r="M148" s="147">
        <v>0</v>
      </c>
      <c r="N148" s="147">
        <v>0</v>
      </c>
      <c r="O148" s="147">
        <v>0</v>
      </c>
      <c r="P148" s="147">
        <v>0</v>
      </c>
      <c r="Q148" s="147">
        <v>0</v>
      </c>
      <c r="R148" s="147">
        <v>0</v>
      </c>
      <c r="S148" s="147">
        <v>0</v>
      </c>
      <c r="T148" s="147">
        <v>0</v>
      </c>
      <c r="U148" s="147">
        <v>0</v>
      </c>
      <c r="V148" s="88">
        <f t="shared" si="112"/>
        <v>3239743.6</v>
      </c>
      <c r="W148" s="64">
        <f t="shared" si="111"/>
        <v>0</v>
      </c>
    </row>
    <row r="149" spans="1:24" ht="12.75" customHeight="1" x14ac:dyDescent="0.2">
      <c r="A149" s="160">
        <v>409</v>
      </c>
      <c r="B149" s="9" t="s">
        <v>252</v>
      </c>
      <c r="C149" s="8" t="s">
        <v>253</v>
      </c>
      <c r="D149" s="86">
        <v>46110950.200000003</v>
      </c>
      <c r="E149" s="88">
        <v>0</v>
      </c>
      <c r="F149" s="88">
        <v>0</v>
      </c>
      <c r="G149" s="88">
        <v>0</v>
      </c>
      <c r="H149" s="88">
        <v>0</v>
      </c>
      <c r="I149" s="147">
        <f t="shared" si="110"/>
        <v>46110950.200000003</v>
      </c>
      <c r="J149" s="88">
        <v>0</v>
      </c>
      <c r="K149" s="88">
        <v>0</v>
      </c>
      <c r="L149" s="88">
        <f t="shared" si="113"/>
        <v>46110950.200000003</v>
      </c>
      <c r="M149" s="88">
        <v>0</v>
      </c>
      <c r="N149" s="88">
        <v>0</v>
      </c>
      <c r="O149" s="88">
        <v>0</v>
      </c>
      <c r="P149" s="88">
        <v>0</v>
      </c>
      <c r="Q149" s="88">
        <v>0</v>
      </c>
      <c r="R149" s="88">
        <v>0</v>
      </c>
      <c r="S149" s="88">
        <v>0</v>
      </c>
      <c r="T149" s="88">
        <v>0</v>
      </c>
      <c r="U149" s="88">
        <v>0</v>
      </c>
      <c r="V149" s="88">
        <f t="shared" si="112"/>
        <v>46110950.200000003</v>
      </c>
      <c r="W149" s="64">
        <f t="shared" si="111"/>
        <v>0</v>
      </c>
    </row>
    <row r="150" spans="1:24" ht="27" customHeight="1" x14ac:dyDescent="0.2">
      <c r="A150" s="160">
        <v>410</v>
      </c>
      <c r="B150" s="9" t="s">
        <v>254</v>
      </c>
      <c r="C150" s="8" t="s">
        <v>102</v>
      </c>
      <c r="D150" s="86">
        <v>271995556.69999999</v>
      </c>
      <c r="E150" s="88">
        <v>0</v>
      </c>
      <c r="F150" s="88">
        <v>0</v>
      </c>
      <c r="G150" s="88">
        <v>0</v>
      </c>
      <c r="H150" s="88">
        <v>0</v>
      </c>
      <c r="I150" s="147">
        <f t="shared" si="110"/>
        <v>271995556.69999999</v>
      </c>
      <c r="J150" s="88">
        <v>0</v>
      </c>
      <c r="K150" s="88">
        <v>34970857.289999999</v>
      </c>
      <c r="L150" s="88">
        <v>34970857.289999999</v>
      </c>
      <c r="M150" s="88">
        <v>34970857.289999999</v>
      </c>
      <c r="N150" s="88">
        <v>34970857.289999999</v>
      </c>
      <c r="O150" s="88">
        <v>34970857.289999999</v>
      </c>
      <c r="P150" s="88">
        <v>34970857.289999999</v>
      </c>
      <c r="Q150" s="88">
        <v>34970857.289999999</v>
      </c>
      <c r="R150" s="88">
        <v>0</v>
      </c>
      <c r="S150" s="88">
        <v>0</v>
      </c>
      <c r="T150" s="88">
        <v>0</v>
      </c>
      <c r="U150" s="88">
        <v>27199555.669999987</v>
      </c>
      <c r="V150" s="88">
        <f t="shared" si="112"/>
        <v>271995556.69999993</v>
      </c>
      <c r="W150" s="64">
        <f t="shared" si="111"/>
        <v>0</v>
      </c>
    </row>
    <row r="151" spans="1:24" x14ac:dyDescent="0.2">
      <c r="A151" s="160">
        <v>414</v>
      </c>
      <c r="B151" s="9" t="s">
        <v>147</v>
      </c>
      <c r="C151" s="8" t="s">
        <v>249</v>
      </c>
      <c r="D151" s="86">
        <v>6547743.4000000004</v>
      </c>
      <c r="E151" s="88">
        <v>0</v>
      </c>
      <c r="F151" s="88">
        <v>0</v>
      </c>
      <c r="G151" s="88">
        <v>0</v>
      </c>
      <c r="H151" s="88">
        <v>0</v>
      </c>
      <c r="I151" s="147">
        <f t="shared" si="110"/>
        <v>6547743.4000000004</v>
      </c>
      <c r="J151" s="88">
        <v>0</v>
      </c>
      <c r="K151" s="88">
        <v>0</v>
      </c>
      <c r="L151" s="88">
        <f>+I151</f>
        <v>6547743.4000000004</v>
      </c>
      <c r="M151" s="88">
        <v>0</v>
      </c>
      <c r="N151" s="88">
        <v>0</v>
      </c>
      <c r="O151" s="88">
        <v>0</v>
      </c>
      <c r="P151" s="88">
        <v>0</v>
      </c>
      <c r="Q151" s="88">
        <v>0</v>
      </c>
      <c r="R151" s="88">
        <v>0</v>
      </c>
      <c r="S151" s="88">
        <v>0</v>
      </c>
      <c r="T151" s="88">
        <v>0</v>
      </c>
      <c r="U151" s="88">
        <v>0</v>
      </c>
      <c r="V151" s="88">
        <f t="shared" si="112"/>
        <v>6547743.4000000004</v>
      </c>
      <c r="W151" s="64">
        <f t="shared" si="111"/>
        <v>0</v>
      </c>
    </row>
    <row r="152" spans="1:24" x14ac:dyDescent="0.2">
      <c r="A152" s="160">
        <v>729</v>
      </c>
      <c r="B152" s="9" t="s">
        <v>231</v>
      </c>
      <c r="C152" s="8" t="s">
        <v>107</v>
      </c>
      <c r="D152" s="86">
        <v>238235978.69</v>
      </c>
      <c r="E152" s="88">
        <v>0</v>
      </c>
      <c r="F152" s="88">
        <v>0</v>
      </c>
      <c r="G152" s="88">
        <v>0</v>
      </c>
      <c r="H152" s="88">
        <v>0</v>
      </c>
      <c r="I152" s="147">
        <f t="shared" si="110"/>
        <v>238235978.69</v>
      </c>
      <c r="J152" s="88">
        <v>0</v>
      </c>
      <c r="K152" s="88">
        <v>0</v>
      </c>
      <c r="L152" s="88">
        <v>238235978.69</v>
      </c>
      <c r="M152" s="88">
        <v>0</v>
      </c>
      <c r="N152" s="88">
        <v>0</v>
      </c>
      <c r="O152" s="88">
        <v>0</v>
      </c>
      <c r="P152" s="88">
        <v>0</v>
      </c>
      <c r="Q152" s="88">
        <v>0</v>
      </c>
      <c r="R152" s="88">
        <v>0</v>
      </c>
      <c r="S152" s="88">
        <v>0</v>
      </c>
      <c r="T152" s="88">
        <v>0</v>
      </c>
      <c r="U152" s="88">
        <v>0</v>
      </c>
      <c r="V152" s="148">
        <f t="shared" si="112"/>
        <v>238235978.69</v>
      </c>
      <c r="W152" s="149">
        <f t="shared" si="111"/>
        <v>0</v>
      </c>
      <c r="X152" s="150"/>
    </row>
    <row r="153" spans="1:24" ht="29.25" customHeight="1" x14ac:dyDescent="0.2">
      <c r="A153" s="160">
        <v>730</v>
      </c>
      <c r="B153" s="9" t="s">
        <v>232</v>
      </c>
      <c r="C153" s="8" t="s">
        <v>102</v>
      </c>
      <c r="D153" s="86">
        <v>4994504.74</v>
      </c>
      <c r="E153" s="88">
        <v>0</v>
      </c>
      <c r="F153" s="88">
        <v>0</v>
      </c>
      <c r="G153" s="88">
        <v>0</v>
      </c>
      <c r="H153" s="88">
        <v>0</v>
      </c>
      <c r="I153" s="147">
        <f t="shared" si="110"/>
        <v>4994504.74</v>
      </c>
      <c r="J153" s="88">
        <v>0</v>
      </c>
      <c r="K153" s="88">
        <v>0</v>
      </c>
      <c r="L153" s="88">
        <v>4994504.74</v>
      </c>
      <c r="M153" s="88">
        <v>0</v>
      </c>
      <c r="N153" s="88">
        <v>0</v>
      </c>
      <c r="O153" s="88">
        <v>0</v>
      </c>
      <c r="P153" s="88">
        <v>0</v>
      </c>
      <c r="Q153" s="88">
        <v>0</v>
      </c>
      <c r="R153" s="88">
        <v>0</v>
      </c>
      <c r="S153" s="88">
        <v>0</v>
      </c>
      <c r="T153" s="88">
        <v>0</v>
      </c>
      <c r="U153" s="88">
        <v>0</v>
      </c>
      <c r="V153" s="148">
        <f t="shared" si="112"/>
        <v>4994504.74</v>
      </c>
      <c r="W153" s="149">
        <f t="shared" si="111"/>
        <v>0</v>
      </c>
      <c r="X153" s="151"/>
    </row>
    <row r="154" spans="1:24" ht="29.25" customHeight="1" x14ac:dyDescent="0.2">
      <c r="A154" s="160">
        <v>731</v>
      </c>
      <c r="B154" s="9" t="s">
        <v>232</v>
      </c>
      <c r="C154" s="8" t="s">
        <v>102</v>
      </c>
      <c r="D154" s="86">
        <v>1714775</v>
      </c>
      <c r="E154" s="88">
        <v>0</v>
      </c>
      <c r="F154" s="88">
        <v>0</v>
      </c>
      <c r="G154" s="88">
        <v>0</v>
      </c>
      <c r="H154" s="88">
        <v>0</v>
      </c>
      <c r="I154" s="147">
        <f t="shared" si="110"/>
        <v>1714775</v>
      </c>
      <c r="J154" s="88">
        <v>0</v>
      </c>
      <c r="K154" s="88">
        <v>0</v>
      </c>
      <c r="L154" s="88">
        <v>1714775</v>
      </c>
      <c r="M154" s="88">
        <v>0</v>
      </c>
      <c r="N154" s="88">
        <v>0</v>
      </c>
      <c r="O154" s="88">
        <v>0</v>
      </c>
      <c r="P154" s="88">
        <v>0</v>
      </c>
      <c r="Q154" s="88">
        <v>0</v>
      </c>
      <c r="R154" s="88">
        <v>0</v>
      </c>
      <c r="S154" s="88">
        <v>0</v>
      </c>
      <c r="T154" s="88">
        <v>0</v>
      </c>
      <c r="U154" s="88">
        <v>0</v>
      </c>
      <c r="V154" s="148">
        <f t="shared" si="112"/>
        <v>1714775</v>
      </c>
      <c r="W154" s="149">
        <f t="shared" si="111"/>
        <v>0</v>
      </c>
      <c r="X154" s="151"/>
    </row>
    <row r="155" spans="1:24" ht="29.25" customHeight="1" x14ac:dyDescent="0.2">
      <c r="A155" s="160">
        <v>732</v>
      </c>
      <c r="B155" s="9" t="s">
        <v>255</v>
      </c>
      <c r="C155" s="8" t="s">
        <v>102</v>
      </c>
      <c r="D155" s="86">
        <v>7283922.2699999996</v>
      </c>
      <c r="E155" s="88">
        <v>0</v>
      </c>
      <c r="F155" s="88">
        <v>0</v>
      </c>
      <c r="G155" s="88">
        <v>0</v>
      </c>
      <c r="H155" s="88">
        <v>0</v>
      </c>
      <c r="I155" s="147">
        <f t="shared" ref="I155:I191" si="114">D155+E155-F155+G155-H155</f>
        <v>7283922.2699999996</v>
      </c>
      <c r="J155" s="88">
        <v>0</v>
      </c>
      <c r="K155" s="88">
        <v>0</v>
      </c>
      <c r="L155" s="88">
        <v>7283922.2699999996</v>
      </c>
      <c r="M155" s="88">
        <v>0</v>
      </c>
      <c r="N155" s="88">
        <v>0</v>
      </c>
      <c r="O155" s="88">
        <v>0</v>
      </c>
      <c r="P155" s="88">
        <v>0</v>
      </c>
      <c r="Q155" s="88">
        <v>0</v>
      </c>
      <c r="R155" s="88">
        <v>0</v>
      </c>
      <c r="S155" s="88">
        <v>0</v>
      </c>
      <c r="T155" s="88">
        <v>0</v>
      </c>
      <c r="U155" s="88">
        <v>0</v>
      </c>
      <c r="V155" s="148">
        <f t="shared" si="112"/>
        <v>7283922.2699999996</v>
      </c>
      <c r="W155" s="149">
        <f t="shared" si="111"/>
        <v>0</v>
      </c>
      <c r="X155" s="151"/>
    </row>
    <row r="156" spans="1:24" ht="29.25" customHeight="1" x14ac:dyDescent="0.2">
      <c r="A156" s="160">
        <v>733</v>
      </c>
      <c r="B156" s="9" t="s">
        <v>256</v>
      </c>
      <c r="C156" s="8" t="s">
        <v>107</v>
      </c>
      <c r="D156" s="86">
        <v>1459852622</v>
      </c>
      <c r="E156" s="88">
        <v>0</v>
      </c>
      <c r="F156" s="88">
        <v>0</v>
      </c>
      <c r="G156" s="88">
        <v>0</v>
      </c>
      <c r="H156" s="88">
        <v>0</v>
      </c>
      <c r="I156" s="147">
        <f t="shared" si="114"/>
        <v>1459852622</v>
      </c>
      <c r="J156" s="88">
        <v>0</v>
      </c>
      <c r="K156" s="88">
        <v>0</v>
      </c>
      <c r="L156" s="88">
        <v>729926311</v>
      </c>
      <c r="M156" s="88">
        <v>0</v>
      </c>
      <c r="N156" s="88">
        <v>729926311</v>
      </c>
      <c r="O156" s="88">
        <v>0</v>
      </c>
      <c r="P156" s="88">
        <v>0</v>
      </c>
      <c r="Q156" s="88">
        <v>0</v>
      </c>
      <c r="R156" s="88">
        <v>0</v>
      </c>
      <c r="S156" s="88">
        <v>0</v>
      </c>
      <c r="T156" s="88">
        <v>0</v>
      </c>
      <c r="U156" s="88">
        <v>0</v>
      </c>
      <c r="V156" s="148">
        <f t="shared" si="112"/>
        <v>1459852622</v>
      </c>
      <c r="W156" s="149">
        <f t="shared" si="111"/>
        <v>0</v>
      </c>
      <c r="X156" s="151"/>
    </row>
    <row r="157" spans="1:24" ht="29.25" customHeight="1" x14ac:dyDescent="0.2">
      <c r="A157" s="160">
        <v>734</v>
      </c>
      <c r="B157" s="9" t="s">
        <v>256</v>
      </c>
      <c r="C157" s="8" t="s">
        <v>107</v>
      </c>
      <c r="D157" s="86">
        <v>74555799.909999996</v>
      </c>
      <c r="E157" s="88">
        <v>0</v>
      </c>
      <c r="F157" s="88">
        <v>0</v>
      </c>
      <c r="G157" s="88">
        <v>0</v>
      </c>
      <c r="H157" s="88">
        <v>0</v>
      </c>
      <c r="I157" s="147">
        <f t="shared" si="114"/>
        <v>74555799.909999996</v>
      </c>
      <c r="J157" s="88">
        <v>0</v>
      </c>
      <c r="K157" s="88">
        <v>0</v>
      </c>
      <c r="L157" s="88">
        <v>37277899.954999998</v>
      </c>
      <c r="M157" s="88">
        <v>0</v>
      </c>
      <c r="N157" s="88">
        <v>37277899.954999998</v>
      </c>
      <c r="O157" s="88">
        <v>0</v>
      </c>
      <c r="P157" s="88">
        <v>0</v>
      </c>
      <c r="Q157" s="88">
        <v>0</v>
      </c>
      <c r="R157" s="88">
        <v>0</v>
      </c>
      <c r="S157" s="88">
        <v>0</v>
      </c>
      <c r="T157" s="88">
        <v>0</v>
      </c>
      <c r="U157" s="88">
        <v>0</v>
      </c>
      <c r="V157" s="148">
        <f t="shared" si="112"/>
        <v>74555799.909999996</v>
      </c>
      <c r="W157" s="149">
        <f t="shared" si="111"/>
        <v>0</v>
      </c>
      <c r="X157" s="151"/>
    </row>
    <row r="158" spans="1:24" ht="29.25" customHeight="1" x14ac:dyDescent="0.2">
      <c r="A158" s="160">
        <v>735</v>
      </c>
      <c r="B158" s="9" t="s">
        <v>257</v>
      </c>
      <c r="C158" s="8" t="s">
        <v>107</v>
      </c>
      <c r="D158" s="86">
        <v>22599420.09</v>
      </c>
      <c r="E158" s="88">
        <v>0</v>
      </c>
      <c r="F158" s="88">
        <v>0</v>
      </c>
      <c r="G158" s="88">
        <v>0</v>
      </c>
      <c r="H158" s="88">
        <v>0</v>
      </c>
      <c r="I158" s="147">
        <f t="shared" si="114"/>
        <v>22599420.09</v>
      </c>
      <c r="J158" s="88">
        <v>0</v>
      </c>
      <c r="K158" s="88">
        <v>0</v>
      </c>
      <c r="L158" s="88">
        <v>11299710.045</v>
      </c>
      <c r="M158" s="88">
        <v>0</v>
      </c>
      <c r="N158" s="88">
        <v>11299710.045</v>
      </c>
      <c r="O158" s="88">
        <v>0</v>
      </c>
      <c r="P158" s="88">
        <v>0</v>
      </c>
      <c r="Q158" s="88">
        <v>0</v>
      </c>
      <c r="R158" s="88">
        <v>0</v>
      </c>
      <c r="S158" s="88">
        <v>0</v>
      </c>
      <c r="T158" s="88">
        <v>0</v>
      </c>
      <c r="U158" s="88">
        <v>0</v>
      </c>
      <c r="V158" s="148">
        <f t="shared" si="112"/>
        <v>22599420.09</v>
      </c>
      <c r="W158" s="149">
        <f t="shared" si="111"/>
        <v>0</v>
      </c>
      <c r="X158" s="151"/>
    </row>
    <row r="159" spans="1:24" ht="29.25" customHeight="1" x14ac:dyDescent="0.2">
      <c r="A159" s="160">
        <v>736</v>
      </c>
      <c r="B159" s="9" t="s">
        <v>258</v>
      </c>
      <c r="C159" s="8" t="s">
        <v>102</v>
      </c>
      <c r="D159" s="86">
        <v>120572032</v>
      </c>
      <c r="E159" s="88">
        <v>0</v>
      </c>
      <c r="F159" s="88">
        <v>0</v>
      </c>
      <c r="G159" s="88">
        <v>0</v>
      </c>
      <c r="H159" s="88">
        <v>0</v>
      </c>
      <c r="I159" s="147">
        <f t="shared" si="114"/>
        <v>120572032</v>
      </c>
      <c r="J159" s="88">
        <v>0</v>
      </c>
      <c r="K159" s="88">
        <v>0</v>
      </c>
      <c r="L159" s="88">
        <v>60286016</v>
      </c>
      <c r="M159" s="88">
        <v>0</v>
      </c>
      <c r="N159" s="88">
        <v>60286016</v>
      </c>
      <c r="O159" s="88">
        <v>0</v>
      </c>
      <c r="P159" s="88">
        <v>0</v>
      </c>
      <c r="Q159" s="88">
        <v>0</v>
      </c>
      <c r="R159" s="88">
        <v>0</v>
      </c>
      <c r="S159" s="88">
        <v>0</v>
      </c>
      <c r="T159" s="88">
        <v>0</v>
      </c>
      <c r="U159" s="88">
        <v>0</v>
      </c>
      <c r="V159" s="148">
        <f t="shared" si="112"/>
        <v>120572032</v>
      </c>
      <c r="W159" s="149">
        <f t="shared" si="111"/>
        <v>0</v>
      </c>
      <c r="X159" s="151"/>
    </row>
    <row r="160" spans="1:24" ht="29.25" customHeight="1" x14ac:dyDescent="0.2">
      <c r="A160" s="160">
        <v>737</v>
      </c>
      <c r="B160" s="9" t="s">
        <v>259</v>
      </c>
      <c r="C160" s="8" t="s">
        <v>102</v>
      </c>
      <c r="D160" s="86">
        <v>8738025.8499999996</v>
      </c>
      <c r="E160" s="88">
        <v>0</v>
      </c>
      <c r="F160" s="88">
        <v>0</v>
      </c>
      <c r="G160" s="88">
        <v>0</v>
      </c>
      <c r="H160" s="88">
        <v>0</v>
      </c>
      <c r="I160" s="147">
        <f t="shared" si="114"/>
        <v>8738025.8499999996</v>
      </c>
      <c r="J160" s="88">
        <v>0</v>
      </c>
      <c r="K160" s="88">
        <v>0</v>
      </c>
      <c r="L160" s="88">
        <v>4369012.9249999998</v>
      </c>
      <c r="M160" s="88">
        <v>0</v>
      </c>
      <c r="N160" s="88">
        <v>4369012.9249999998</v>
      </c>
      <c r="O160" s="88">
        <v>0</v>
      </c>
      <c r="P160" s="88">
        <v>0</v>
      </c>
      <c r="Q160" s="88">
        <v>0</v>
      </c>
      <c r="R160" s="88">
        <v>0</v>
      </c>
      <c r="S160" s="88">
        <v>0</v>
      </c>
      <c r="T160" s="88">
        <v>0</v>
      </c>
      <c r="U160" s="88">
        <v>0</v>
      </c>
      <c r="V160" s="148">
        <f t="shared" si="112"/>
        <v>8738025.8499999996</v>
      </c>
      <c r="W160" s="149">
        <f t="shared" si="111"/>
        <v>0</v>
      </c>
      <c r="X160" s="151"/>
    </row>
    <row r="161" spans="1:24" ht="29.25" customHeight="1" x14ac:dyDescent="0.2">
      <c r="A161" s="160">
        <v>738</v>
      </c>
      <c r="B161" s="9" t="s">
        <v>260</v>
      </c>
      <c r="C161" s="8" t="s">
        <v>107</v>
      </c>
      <c r="D161" s="86">
        <v>60000000</v>
      </c>
      <c r="E161" s="88">
        <v>0</v>
      </c>
      <c r="F161" s="88">
        <v>0</v>
      </c>
      <c r="G161" s="88">
        <v>0</v>
      </c>
      <c r="H161" s="88">
        <v>0</v>
      </c>
      <c r="I161" s="147">
        <f t="shared" si="114"/>
        <v>60000000</v>
      </c>
      <c r="J161" s="88">
        <v>0</v>
      </c>
      <c r="K161" s="88">
        <v>0</v>
      </c>
      <c r="L161" s="88">
        <v>30000000</v>
      </c>
      <c r="M161" s="88">
        <v>0</v>
      </c>
      <c r="N161" s="88">
        <v>30000000</v>
      </c>
      <c r="O161" s="88">
        <v>0</v>
      </c>
      <c r="P161" s="88">
        <v>0</v>
      </c>
      <c r="Q161" s="88">
        <v>0</v>
      </c>
      <c r="R161" s="88">
        <v>0</v>
      </c>
      <c r="S161" s="88">
        <v>0</v>
      </c>
      <c r="T161" s="88">
        <v>0</v>
      </c>
      <c r="U161" s="88">
        <v>0</v>
      </c>
      <c r="V161" s="148">
        <f t="shared" si="112"/>
        <v>60000000</v>
      </c>
      <c r="W161" s="149">
        <f t="shared" si="111"/>
        <v>0</v>
      </c>
      <c r="X161" s="151"/>
    </row>
    <row r="162" spans="1:24" ht="29.25" customHeight="1" x14ac:dyDescent="0.2">
      <c r="A162" s="160">
        <v>739</v>
      </c>
      <c r="B162" s="9" t="s">
        <v>261</v>
      </c>
      <c r="C162" s="8" t="s">
        <v>107</v>
      </c>
      <c r="D162" s="86">
        <v>676115692.29999995</v>
      </c>
      <c r="E162" s="88">
        <v>0</v>
      </c>
      <c r="F162" s="88">
        <v>0</v>
      </c>
      <c r="G162" s="88">
        <v>0</v>
      </c>
      <c r="H162" s="88">
        <v>0</v>
      </c>
      <c r="I162" s="147">
        <f t="shared" si="114"/>
        <v>676115692.29999995</v>
      </c>
      <c r="J162" s="88">
        <v>0</v>
      </c>
      <c r="K162" s="88">
        <v>0</v>
      </c>
      <c r="L162" s="88">
        <v>338057846.14999998</v>
      </c>
      <c r="M162" s="88">
        <v>0</v>
      </c>
      <c r="N162" s="88">
        <v>338057846.14999998</v>
      </c>
      <c r="O162" s="88">
        <v>0</v>
      </c>
      <c r="P162" s="88">
        <v>0</v>
      </c>
      <c r="Q162" s="88">
        <v>0</v>
      </c>
      <c r="R162" s="88">
        <v>0</v>
      </c>
      <c r="S162" s="88">
        <v>0</v>
      </c>
      <c r="T162" s="88">
        <v>0</v>
      </c>
      <c r="U162" s="88">
        <v>0</v>
      </c>
      <c r="V162" s="148">
        <f t="shared" si="112"/>
        <v>676115692.29999995</v>
      </c>
      <c r="W162" s="149">
        <f t="shared" si="111"/>
        <v>0</v>
      </c>
      <c r="X162" s="151"/>
    </row>
    <row r="163" spans="1:24" ht="29.25" customHeight="1" x14ac:dyDescent="0.2">
      <c r="A163" s="160">
        <v>740</v>
      </c>
      <c r="B163" s="9" t="s">
        <v>262</v>
      </c>
      <c r="C163" s="8" t="s">
        <v>107</v>
      </c>
      <c r="D163" s="86">
        <v>945491540.29999995</v>
      </c>
      <c r="E163" s="88">
        <v>0</v>
      </c>
      <c r="F163" s="88">
        <v>0</v>
      </c>
      <c r="G163" s="88">
        <v>0</v>
      </c>
      <c r="H163" s="88">
        <v>0</v>
      </c>
      <c r="I163" s="147">
        <f t="shared" si="114"/>
        <v>945491540.29999995</v>
      </c>
      <c r="J163" s="88">
        <v>0</v>
      </c>
      <c r="K163" s="88">
        <v>0</v>
      </c>
      <c r="L163" s="88">
        <v>472745770.14999998</v>
      </c>
      <c r="M163" s="88">
        <v>0</v>
      </c>
      <c r="N163" s="88">
        <v>472745770.14999998</v>
      </c>
      <c r="O163" s="88">
        <v>0</v>
      </c>
      <c r="P163" s="88">
        <v>0</v>
      </c>
      <c r="Q163" s="88">
        <v>0</v>
      </c>
      <c r="R163" s="88">
        <v>0</v>
      </c>
      <c r="S163" s="88">
        <v>0</v>
      </c>
      <c r="T163" s="88">
        <v>0</v>
      </c>
      <c r="U163" s="88">
        <v>0</v>
      </c>
      <c r="V163" s="148">
        <f t="shared" si="112"/>
        <v>945491540.29999995</v>
      </c>
      <c r="W163" s="149">
        <f t="shared" si="111"/>
        <v>0</v>
      </c>
      <c r="X163" s="151"/>
    </row>
    <row r="164" spans="1:24" ht="29.25" customHeight="1" x14ac:dyDescent="0.2">
      <c r="A164" s="160">
        <v>741</v>
      </c>
      <c r="B164" s="9" t="s">
        <v>263</v>
      </c>
      <c r="C164" s="8" t="s">
        <v>233</v>
      </c>
      <c r="D164" s="86">
        <v>54989270.539999999</v>
      </c>
      <c r="E164" s="88">
        <v>0</v>
      </c>
      <c r="F164" s="88">
        <v>0</v>
      </c>
      <c r="G164" s="88">
        <v>0</v>
      </c>
      <c r="H164" s="88">
        <v>0</v>
      </c>
      <c r="I164" s="147">
        <f t="shared" si="114"/>
        <v>54989270.539999999</v>
      </c>
      <c r="J164" s="88">
        <v>0</v>
      </c>
      <c r="K164" s="88">
        <v>0</v>
      </c>
      <c r="L164" s="88">
        <v>27494635.27</v>
      </c>
      <c r="M164" s="88">
        <v>0</v>
      </c>
      <c r="N164" s="88">
        <v>27494635.27</v>
      </c>
      <c r="O164" s="88">
        <v>0</v>
      </c>
      <c r="P164" s="88">
        <v>0</v>
      </c>
      <c r="Q164" s="88">
        <v>0</v>
      </c>
      <c r="R164" s="88">
        <v>0</v>
      </c>
      <c r="S164" s="88">
        <v>0</v>
      </c>
      <c r="T164" s="88">
        <v>0</v>
      </c>
      <c r="U164" s="88">
        <v>0</v>
      </c>
      <c r="V164" s="148">
        <f t="shared" si="112"/>
        <v>54989270.539999999</v>
      </c>
      <c r="W164" s="149">
        <f t="shared" si="111"/>
        <v>0</v>
      </c>
      <c r="X164" s="151"/>
    </row>
    <row r="165" spans="1:24" ht="29.25" customHeight="1" x14ac:dyDescent="0.2">
      <c r="A165" s="161">
        <v>742</v>
      </c>
      <c r="B165" s="9" t="s">
        <v>264</v>
      </c>
      <c r="C165" s="8" t="s">
        <v>233</v>
      </c>
      <c r="D165" s="86">
        <v>82783036.859999999</v>
      </c>
      <c r="E165" s="88">
        <v>0</v>
      </c>
      <c r="F165" s="88">
        <v>0</v>
      </c>
      <c r="G165" s="88">
        <v>0</v>
      </c>
      <c r="H165" s="88">
        <v>0</v>
      </c>
      <c r="I165" s="147">
        <f t="shared" si="114"/>
        <v>82783036.859999999</v>
      </c>
      <c r="J165" s="88">
        <v>0</v>
      </c>
      <c r="K165" s="88">
        <v>0</v>
      </c>
      <c r="L165" s="88">
        <v>41391518.43</v>
      </c>
      <c r="M165" s="88">
        <v>0</v>
      </c>
      <c r="N165" s="88">
        <v>41391518.43</v>
      </c>
      <c r="O165" s="88">
        <v>0</v>
      </c>
      <c r="P165" s="88">
        <v>0</v>
      </c>
      <c r="Q165" s="88">
        <v>0</v>
      </c>
      <c r="R165" s="88">
        <v>0</v>
      </c>
      <c r="S165" s="88">
        <v>0</v>
      </c>
      <c r="T165" s="88">
        <v>0</v>
      </c>
      <c r="U165" s="88">
        <v>0</v>
      </c>
      <c r="V165" s="148">
        <f t="shared" si="112"/>
        <v>82783036.859999999</v>
      </c>
      <c r="W165" s="149">
        <f t="shared" si="111"/>
        <v>0</v>
      </c>
      <c r="X165" s="151"/>
    </row>
    <row r="166" spans="1:24" ht="29.25" customHeight="1" x14ac:dyDescent="0.2">
      <c r="A166" s="162">
        <v>764</v>
      </c>
      <c r="B166" s="9" t="s">
        <v>265</v>
      </c>
      <c r="C166" s="8" t="s">
        <v>102</v>
      </c>
      <c r="D166" s="86">
        <v>16636487.73</v>
      </c>
      <c r="E166" s="88">
        <v>0</v>
      </c>
      <c r="F166" s="88">
        <v>0</v>
      </c>
      <c r="G166" s="88">
        <v>0</v>
      </c>
      <c r="H166" s="88">
        <v>0</v>
      </c>
      <c r="I166" s="147">
        <f t="shared" si="114"/>
        <v>16636487.73</v>
      </c>
      <c r="J166" s="88">
        <v>0</v>
      </c>
      <c r="K166" s="88">
        <v>0</v>
      </c>
      <c r="L166" s="88">
        <v>0</v>
      </c>
      <c r="M166" s="88">
        <v>0</v>
      </c>
      <c r="N166" s="88">
        <v>0</v>
      </c>
      <c r="O166" s="88">
        <v>16636487.73</v>
      </c>
      <c r="P166" s="88">
        <v>0</v>
      </c>
      <c r="Q166" s="88">
        <v>0</v>
      </c>
      <c r="R166" s="88">
        <v>0</v>
      </c>
      <c r="S166" s="88">
        <v>0</v>
      </c>
      <c r="T166" s="88">
        <v>0</v>
      </c>
      <c r="U166" s="88">
        <v>0</v>
      </c>
      <c r="V166" s="148">
        <f t="shared" si="112"/>
        <v>16636487.73</v>
      </c>
      <c r="W166" s="149">
        <f t="shared" si="111"/>
        <v>0</v>
      </c>
      <c r="X166" s="151"/>
    </row>
    <row r="167" spans="1:24" ht="29.25" customHeight="1" x14ac:dyDescent="0.2">
      <c r="A167" s="162">
        <v>768</v>
      </c>
      <c r="B167" s="9" t="s">
        <v>266</v>
      </c>
      <c r="C167" s="8" t="s">
        <v>107</v>
      </c>
      <c r="D167" s="86">
        <v>8834182.4900000002</v>
      </c>
      <c r="E167" s="88">
        <v>0</v>
      </c>
      <c r="F167" s="88">
        <v>0</v>
      </c>
      <c r="G167" s="88">
        <v>0</v>
      </c>
      <c r="H167" s="88">
        <v>0</v>
      </c>
      <c r="I167" s="147">
        <f t="shared" si="114"/>
        <v>8834182.4900000002</v>
      </c>
      <c r="J167" s="88"/>
      <c r="K167" s="88">
        <v>0</v>
      </c>
      <c r="L167" s="88">
        <f>+I167</f>
        <v>8834182.4900000002</v>
      </c>
      <c r="M167" s="88">
        <v>0</v>
      </c>
      <c r="N167" s="88">
        <v>0</v>
      </c>
      <c r="O167" s="88">
        <v>0</v>
      </c>
      <c r="P167" s="88">
        <v>0</v>
      </c>
      <c r="Q167" s="88">
        <v>0</v>
      </c>
      <c r="R167" s="88">
        <v>0</v>
      </c>
      <c r="S167" s="88">
        <v>0</v>
      </c>
      <c r="T167" s="88">
        <v>0</v>
      </c>
      <c r="U167" s="88"/>
      <c r="V167" s="148">
        <f t="shared" si="112"/>
        <v>8834182.4900000002</v>
      </c>
      <c r="W167" s="149">
        <f t="shared" si="111"/>
        <v>0</v>
      </c>
      <c r="X167" s="151"/>
    </row>
    <row r="168" spans="1:24" ht="29.25" customHeight="1" x14ac:dyDescent="0.2">
      <c r="A168" s="162">
        <v>769</v>
      </c>
      <c r="B168" s="9" t="s">
        <v>267</v>
      </c>
      <c r="C168" s="8" t="s">
        <v>107</v>
      </c>
      <c r="D168" s="86">
        <v>2065809.37</v>
      </c>
      <c r="E168" s="88">
        <v>0</v>
      </c>
      <c r="F168" s="88">
        <v>0</v>
      </c>
      <c r="G168" s="88">
        <v>0</v>
      </c>
      <c r="H168" s="88">
        <v>0</v>
      </c>
      <c r="I168" s="147">
        <f t="shared" si="114"/>
        <v>2065809.37</v>
      </c>
      <c r="J168" s="88">
        <v>0</v>
      </c>
      <c r="K168" s="88">
        <v>0</v>
      </c>
      <c r="L168" s="88">
        <f>+I168</f>
        <v>2065809.37</v>
      </c>
      <c r="M168" s="88">
        <v>0</v>
      </c>
      <c r="N168" s="88">
        <v>0</v>
      </c>
      <c r="O168" s="88">
        <v>0</v>
      </c>
      <c r="P168" s="88">
        <v>0</v>
      </c>
      <c r="Q168" s="88">
        <v>0</v>
      </c>
      <c r="R168" s="88">
        <v>0</v>
      </c>
      <c r="S168" s="88">
        <v>0</v>
      </c>
      <c r="T168" s="88">
        <v>0</v>
      </c>
      <c r="U168" s="88">
        <v>0</v>
      </c>
      <c r="V168" s="148">
        <f t="shared" si="112"/>
        <v>2065809.37</v>
      </c>
      <c r="W168" s="149">
        <f t="shared" si="111"/>
        <v>0</v>
      </c>
      <c r="X168" s="151"/>
    </row>
    <row r="169" spans="1:24" ht="29.25" customHeight="1" x14ac:dyDescent="0.2">
      <c r="A169" s="162">
        <v>770</v>
      </c>
      <c r="B169" s="9" t="s">
        <v>268</v>
      </c>
      <c r="C169" s="8" t="s">
        <v>107</v>
      </c>
      <c r="D169" s="86">
        <v>126240281.59999999</v>
      </c>
      <c r="E169" s="88">
        <v>0</v>
      </c>
      <c r="F169" s="88">
        <v>0</v>
      </c>
      <c r="G169" s="88">
        <v>0</v>
      </c>
      <c r="H169" s="88">
        <v>0</v>
      </c>
      <c r="I169" s="147">
        <f t="shared" si="114"/>
        <v>126240281.59999999</v>
      </c>
      <c r="J169" s="88">
        <v>0</v>
      </c>
      <c r="K169" s="88">
        <v>0</v>
      </c>
      <c r="L169" s="88">
        <v>0</v>
      </c>
      <c r="M169" s="88">
        <v>0</v>
      </c>
      <c r="N169" s="88">
        <v>0</v>
      </c>
      <c r="O169" s="88">
        <v>126240281.59999999</v>
      </c>
      <c r="P169" s="88">
        <v>0</v>
      </c>
      <c r="Q169" s="88">
        <v>0</v>
      </c>
      <c r="R169" s="88">
        <v>0</v>
      </c>
      <c r="S169" s="88">
        <v>0</v>
      </c>
      <c r="T169" s="88">
        <v>0</v>
      </c>
      <c r="U169" s="88">
        <v>0</v>
      </c>
      <c r="V169" s="148">
        <f t="shared" si="112"/>
        <v>126240281.59999999</v>
      </c>
      <c r="W169" s="149">
        <f t="shared" si="111"/>
        <v>0</v>
      </c>
      <c r="X169" s="151"/>
    </row>
    <row r="170" spans="1:24" ht="29.25" customHeight="1" x14ac:dyDescent="0.2">
      <c r="A170" s="162">
        <v>771</v>
      </c>
      <c r="B170" s="9" t="s">
        <v>269</v>
      </c>
      <c r="C170" s="8" t="s">
        <v>102</v>
      </c>
      <c r="D170" s="86">
        <v>18673374.789999999</v>
      </c>
      <c r="E170" s="88">
        <v>0</v>
      </c>
      <c r="F170" s="88">
        <v>0</v>
      </c>
      <c r="G170" s="88">
        <v>0</v>
      </c>
      <c r="H170" s="88">
        <v>0</v>
      </c>
      <c r="I170" s="147">
        <f t="shared" si="114"/>
        <v>18673374.789999999</v>
      </c>
      <c r="J170" s="88">
        <v>0</v>
      </c>
      <c r="K170" s="88">
        <v>0</v>
      </c>
      <c r="L170" s="88">
        <v>0</v>
      </c>
      <c r="M170" s="88">
        <v>0</v>
      </c>
      <c r="N170" s="88">
        <v>0</v>
      </c>
      <c r="O170" s="88">
        <v>18673374.789999999</v>
      </c>
      <c r="P170" s="88">
        <v>0</v>
      </c>
      <c r="Q170" s="88">
        <v>0</v>
      </c>
      <c r="R170" s="88">
        <v>0</v>
      </c>
      <c r="S170" s="88">
        <v>0</v>
      </c>
      <c r="T170" s="88">
        <v>0</v>
      </c>
      <c r="U170" s="88">
        <v>0</v>
      </c>
      <c r="V170" s="148">
        <f t="shared" si="112"/>
        <v>18673374.789999999</v>
      </c>
      <c r="W170" s="149">
        <f t="shared" si="111"/>
        <v>0</v>
      </c>
      <c r="X170" s="151"/>
    </row>
    <row r="171" spans="1:24" ht="29.25" customHeight="1" x14ac:dyDescent="0.2">
      <c r="A171" s="162">
        <v>772</v>
      </c>
      <c r="B171" s="9" t="s">
        <v>270</v>
      </c>
      <c r="C171" s="8" t="s">
        <v>107</v>
      </c>
      <c r="D171" s="86">
        <v>94290843.200000003</v>
      </c>
      <c r="E171" s="88">
        <v>0</v>
      </c>
      <c r="F171" s="88">
        <v>0</v>
      </c>
      <c r="G171" s="88">
        <v>0</v>
      </c>
      <c r="H171" s="88">
        <v>0</v>
      </c>
      <c r="I171" s="147">
        <f t="shared" si="114"/>
        <v>94290843.200000003</v>
      </c>
      <c r="J171" s="88">
        <v>0</v>
      </c>
      <c r="K171" s="88">
        <v>0</v>
      </c>
      <c r="L171" s="88">
        <v>0</v>
      </c>
      <c r="M171" s="88">
        <v>0</v>
      </c>
      <c r="N171" s="88">
        <v>0</v>
      </c>
      <c r="O171" s="88">
        <v>94290843.200000003</v>
      </c>
      <c r="P171" s="88">
        <v>0</v>
      </c>
      <c r="Q171" s="88">
        <v>0</v>
      </c>
      <c r="R171" s="88">
        <v>0</v>
      </c>
      <c r="S171" s="88">
        <v>0</v>
      </c>
      <c r="T171" s="88">
        <v>0</v>
      </c>
      <c r="U171" s="88">
        <v>0</v>
      </c>
      <c r="V171" s="148">
        <f t="shared" si="112"/>
        <v>94290843.200000003</v>
      </c>
      <c r="W171" s="149">
        <f t="shared" si="111"/>
        <v>0</v>
      </c>
      <c r="X171" s="151"/>
    </row>
    <row r="172" spans="1:24" ht="29.25" customHeight="1" x14ac:dyDescent="0.2">
      <c r="A172" s="162">
        <v>773</v>
      </c>
      <c r="B172" s="9" t="s">
        <v>271</v>
      </c>
      <c r="C172" s="8" t="s">
        <v>102</v>
      </c>
      <c r="D172" s="86">
        <v>31535586.100000001</v>
      </c>
      <c r="E172" s="88">
        <v>0</v>
      </c>
      <c r="F172" s="88">
        <v>0</v>
      </c>
      <c r="G172" s="88">
        <v>0</v>
      </c>
      <c r="H172" s="88">
        <v>0</v>
      </c>
      <c r="I172" s="147">
        <f t="shared" si="114"/>
        <v>31535586.100000001</v>
      </c>
      <c r="J172" s="88">
        <v>0</v>
      </c>
      <c r="K172" s="88">
        <v>0</v>
      </c>
      <c r="L172" s="88">
        <v>0</v>
      </c>
      <c r="M172" s="88">
        <v>0</v>
      </c>
      <c r="N172" s="88">
        <v>0</v>
      </c>
      <c r="O172" s="88">
        <v>31535586.100000001</v>
      </c>
      <c r="P172" s="88">
        <v>0</v>
      </c>
      <c r="Q172" s="88">
        <v>0</v>
      </c>
      <c r="R172" s="88">
        <v>0</v>
      </c>
      <c r="S172" s="88">
        <v>0</v>
      </c>
      <c r="T172" s="88">
        <v>0</v>
      </c>
      <c r="U172" s="88">
        <v>0</v>
      </c>
      <c r="V172" s="148">
        <f t="shared" si="112"/>
        <v>31535586.100000001</v>
      </c>
      <c r="W172" s="149">
        <f t="shared" si="111"/>
        <v>0</v>
      </c>
      <c r="X172" s="151"/>
    </row>
    <row r="173" spans="1:24" ht="29.25" customHeight="1" x14ac:dyDescent="0.2">
      <c r="A173" s="162">
        <v>774</v>
      </c>
      <c r="B173" s="9" t="s">
        <v>272</v>
      </c>
      <c r="C173" s="8" t="s">
        <v>102</v>
      </c>
      <c r="D173" s="86">
        <v>31874676.870000001</v>
      </c>
      <c r="E173" s="88">
        <v>0</v>
      </c>
      <c r="F173" s="88">
        <v>0</v>
      </c>
      <c r="G173" s="88">
        <v>0</v>
      </c>
      <c r="H173" s="88">
        <v>0</v>
      </c>
      <c r="I173" s="147">
        <f t="shared" si="114"/>
        <v>31874676.870000001</v>
      </c>
      <c r="J173" s="88">
        <v>0</v>
      </c>
      <c r="K173" s="88">
        <v>0</v>
      </c>
      <c r="L173" s="88">
        <v>0</v>
      </c>
      <c r="M173" s="88">
        <v>0</v>
      </c>
      <c r="N173" s="88">
        <v>0</v>
      </c>
      <c r="O173" s="88">
        <v>31874676.870000001</v>
      </c>
      <c r="P173" s="88">
        <v>0</v>
      </c>
      <c r="Q173" s="88">
        <v>0</v>
      </c>
      <c r="R173" s="88">
        <v>0</v>
      </c>
      <c r="S173" s="88">
        <v>0</v>
      </c>
      <c r="T173" s="88">
        <v>0</v>
      </c>
      <c r="U173" s="88">
        <v>0</v>
      </c>
      <c r="V173" s="148">
        <f t="shared" si="112"/>
        <v>31874676.870000001</v>
      </c>
      <c r="W173" s="149">
        <f t="shared" si="111"/>
        <v>0</v>
      </c>
      <c r="X173" s="151"/>
    </row>
    <row r="174" spans="1:24" ht="29.25" customHeight="1" x14ac:dyDescent="0.2">
      <c r="A174" s="162">
        <v>783</v>
      </c>
      <c r="B174" s="9" t="s">
        <v>273</v>
      </c>
      <c r="C174" s="8" t="s">
        <v>107</v>
      </c>
      <c r="D174" s="86">
        <v>75021845.370000005</v>
      </c>
      <c r="E174" s="88">
        <v>0</v>
      </c>
      <c r="F174" s="88">
        <v>0</v>
      </c>
      <c r="G174" s="88">
        <v>0</v>
      </c>
      <c r="H174" s="88">
        <v>0</v>
      </c>
      <c r="I174" s="147">
        <f t="shared" si="114"/>
        <v>75021845.370000005</v>
      </c>
      <c r="J174" s="88">
        <v>0</v>
      </c>
      <c r="K174" s="88">
        <v>0</v>
      </c>
      <c r="L174" s="88">
        <v>0</v>
      </c>
      <c r="M174" s="88">
        <v>0</v>
      </c>
      <c r="N174" s="88">
        <v>0</v>
      </c>
      <c r="O174" s="88">
        <v>75021845.370000005</v>
      </c>
      <c r="P174" s="88">
        <v>0</v>
      </c>
      <c r="Q174" s="88">
        <v>0</v>
      </c>
      <c r="R174" s="88">
        <v>0</v>
      </c>
      <c r="S174" s="88">
        <v>0</v>
      </c>
      <c r="T174" s="88">
        <v>0</v>
      </c>
      <c r="U174" s="88">
        <v>0</v>
      </c>
      <c r="V174" s="148">
        <f t="shared" si="112"/>
        <v>75021845.370000005</v>
      </c>
      <c r="W174" s="149">
        <f t="shared" si="111"/>
        <v>0</v>
      </c>
      <c r="X174" s="151"/>
    </row>
    <row r="175" spans="1:24" ht="29.25" customHeight="1" x14ac:dyDescent="0.2">
      <c r="A175" s="162">
        <v>796</v>
      </c>
      <c r="B175" s="9" t="s">
        <v>274</v>
      </c>
      <c r="C175" s="8" t="s">
        <v>107</v>
      </c>
      <c r="D175" s="86">
        <v>220458.25</v>
      </c>
      <c r="E175" s="88">
        <v>0</v>
      </c>
      <c r="F175" s="88">
        <v>0</v>
      </c>
      <c r="G175" s="88">
        <v>0</v>
      </c>
      <c r="H175" s="88">
        <v>0</v>
      </c>
      <c r="I175" s="147">
        <f t="shared" si="114"/>
        <v>220458.25</v>
      </c>
      <c r="J175" s="88">
        <v>0</v>
      </c>
      <c r="K175" s="88">
        <v>0</v>
      </c>
      <c r="L175" s="88">
        <v>0</v>
      </c>
      <c r="M175" s="88">
        <v>0</v>
      </c>
      <c r="N175" s="88">
        <v>0</v>
      </c>
      <c r="O175" s="88">
        <v>220458.25</v>
      </c>
      <c r="P175" s="88">
        <v>0</v>
      </c>
      <c r="Q175" s="88">
        <v>0</v>
      </c>
      <c r="R175" s="88">
        <v>0</v>
      </c>
      <c r="S175" s="88">
        <v>0</v>
      </c>
      <c r="T175" s="88">
        <v>0</v>
      </c>
      <c r="U175" s="88">
        <v>0</v>
      </c>
      <c r="V175" s="148">
        <f t="shared" si="112"/>
        <v>220458.25</v>
      </c>
      <c r="W175" s="149">
        <f t="shared" si="111"/>
        <v>0</v>
      </c>
      <c r="X175" s="151"/>
    </row>
    <row r="176" spans="1:24" ht="29.25" customHeight="1" x14ac:dyDescent="0.2">
      <c r="A176" s="162">
        <v>798</v>
      </c>
      <c r="B176" s="9" t="s">
        <v>275</v>
      </c>
      <c r="C176" s="8" t="s">
        <v>107</v>
      </c>
      <c r="D176" s="86">
        <v>24312859.5</v>
      </c>
      <c r="E176" s="88">
        <v>0</v>
      </c>
      <c r="F176" s="88">
        <v>0</v>
      </c>
      <c r="G176" s="88">
        <v>0</v>
      </c>
      <c r="H176" s="88">
        <v>0</v>
      </c>
      <c r="I176" s="147">
        <f t="shared" si="114"/>
        <v>24312859.5</v>
      </c>
      <c r="J176" s="88">
        <v>0</v>
      </c>
      <c r="K176" s="88">
        <v>0</v>
      </c>
      <c r="L176" s="88">
        <v>0</v>
      </c>
      <c r="M176" s="88">
        <v>0</v>
      </c>
      <c r="N176" s="88">
        <v>0</v>
      </c>
      <c r="O176" s="88">
        <v>24312859.5</v>
      </c>
      <c r="P176" s="88">
        <v>0</v>
      </c>
      <c r="Q176" s="88">
        <v>0</v>
      </c>
      <c r="R176" s="88">
        <v>0</v>
      </c>
      <c r="S176" s="88">
        <v>0</v>
      </c>
      <c r="T176" s="88">
        <v>0</v>
      </c>
      <c r="U176" s="88">
        <v>0</v>
      </c>
      <c r="V176" s="148">
        <f t="shared" si="112"/>
        <v>24312859.5</v>
      </c>
      <c r="W176" s="149">
        <f t="shared" si="111"/>
        <v>0</v>
      </c>
      <c r="X176" s="151"/>
    </row>
    <row r="177" spans="1:24" ht="29.25" customHeight="1" x14ac:dyDescent="0.2">
      <c r="A177" s="160">
        <v>807</v>
      </c>
      <c r="B177" s="9" t="s">
        <v>276</v>
      </c>
      <c r="C177" s="8" t="s">
        <v>107</v>
      </c>
      <c r="D177" s="86">
        <v>2658412.25</v>
      </c>
      <c r="E177" s="88">
        <v>0</v>
      </c>
      <c r="F177" s="88">
        <v>0</v>
      </c>
      <c r="G177" s="88">
        <v>0</v>
      </c>
      <c r="H177" s="88">
        <v>0</v>
      </c>
      <c r="I177" s="147">
        <f t="shared" si="114"/>
        <v>2658412.25</v>
      </c>
      <c r="J177" s="88">
        <v>0</v>
      </c>
      <c r="K177" s="88">
        <v>0</v>
      </c>
      <c r="L177" s="88">
        <v>0</v>
      </c>
      <c r="M177" s="88">
        <v>0</v>
      </c>
      <c r="N177" s="88">
        <v>0</v>
      </c>
      <c r="O177" s="88">
        <v>2658412.25</v>
      </c>
      <c r="P177" s="88">
        <v>0</v>
      </c>
      <c r="Q177" s="88">
        <v>0</v>
      </c>
      <c r="R177" s="88">
        <v>0</v>
      </c>
      <c r="S177" s="88">
        <v>0</v>
      </c>
      <c r="T177" s="88">
        <v>0</v>
      </c>
      <c r="U177" s="88">
        <v>0</v>
      </c>
      <c r="V177" s="148">
        <f t="shared" si="112"/>
        <v>2658412.25</v>
      </c>
      <c r="W177" s="149">
        <f t="shared" si="111"/>
        <v>0</v>
      </c>
      <c r="X177" s="151"/>
    </row>
    <row r="178" spans="1:24" ht="29.25" customHeight="1" x14ac:dyDescent="0.2">
      <c r="A178" s="160">
        <v>825</v>
      </c>
      <c r="B178" s="9" t="s">
        <v>145</v>
      </c>
      <c r="C178" s="8" t="s">
        <v>102</v>
      </c>
      <c r="D178" s="86">
        <v>23790000</v>
      </c>
      <c r="E178" s="88">
        <v>0</v>
      </c>
      <c r="F178" s="88">
        <v>0</v>
      </c>
      <c r="G178" s="88">
        <v>0</v>
      </c>
      <c r="H178" s="88">
        <v>0</v>
      </c>
      <c r="I178" s="147">
        <f t="shared" si="114"/>
        <v>23790000</v>
      </c>
      <c r="J178" s="147"/>
      <c r="K178" s="147">
        <v>23790000</v>
      </c>
      <c r="L178" s="147"/>
      <c r="M178" s="147"/>
      <c r="N178" s="147"/>
      <c r="O178" s="147"/>
      <c r="P178" s="147"/>
      <c r="Q178" s="147"/>
      <c r="R178" s="147"/>
      <c r="S178" s="147"/>
      <c r="T178" s="147"/>
      <c r="U178" s="147"/>
      <c r="V178" s="148">
        <f t="shared" si="112"/>
        <v>23790000</v>
      </c>
      <c r="W178" s="149">
        <f t="shared" si="111"/>
        <v>0</v>
      </c>
      <c r="X178" s="151"/>
    </row>
    <row r="179" spans="1:24" ht="29.25" customHeight="1" x14ac:dyDescent="0.2">
      <c r="A179" s="160">
        <v>922</v>
      </c>
      <c r="B179" s="9" t="s">
        <v>140</v>
      </c>
      <c r="C179" s="8" t="s">
        <v>233</v>
      </c>
      <c r="D179" s="86">
        <v>4849661</v>
      </c>
      <c r="E179" s="88">
        <v>0</v>
      </c>
      <c r="F179" s="88">
        <v>0</v>
      </c>
      <c r="G179" s="88">
        <v>0</v>
      </c>
      <c r="H179" s="88">
        <v>0</v>
      </c>
      <c r="I179" s="147">
        <f t="shared" si="114"/>
        <v>4849661</v>
      </c>
      <c r="J179" s="147"/>
      <c r="K179" s="147">
        <v>4849661</v>
      </c>
      <c r="L179" s="147"/>
      <c r="M179" s="147"/>
      <c r="N179" s="147"/>
      <c r="O179" s="147"/>
      <c r="P179" s="147"/>
      <c r="Q179" s="147"/>
      <c r="R179" s="147"/>
      <c r="S179" s="147"/>
      <c r="T179" s="147"/>
      <c r="U179" s="147"/>
      <c r="V179" s="148">
        <f t="shared" si="112"/>
        <v>4849661</v>
      </c>
      <c r="W179" s="149">
        <f t="shared" si="111"/>
        <v>0</v>
      </c>
      <c r="X179" s="151"/>
    </row>
    <row r="180" spans="1:24" ht="29.25" customHeight="1" x14ac:dyDescent="0.2">
      <c r="A180" s="160">
        <v>1046</v>
      </c>
      <c r="B180" s="9" t="s">
        <v>147</v>
      </c>
      <c r="C180" s="8" t="s">
        <v>249</v>
      </c>
      <c r="D180" s="86">
        <v>41088455.5</v>
      </c>
      <c r="E180" s="88">
        <v>0</v>
      </c>
      <c r="F180" s="88">
        <v>0</v>
      </c>
      <c r="G180" s="88">
        <v>0</v>
      </c>
      <c r="H180" s="88">
        <v>0</v>
      </c>
      <c r="I180" s="147">
        <f t="shared" si="114"/>
        <v>41088455.5</v>
      </c>
      <c r="J180" s="88">
        <v>0</v>
      </c>
      <c r="K180" s="147">
        <f>+D180*50%</f>
        <v>20544227.75</v>
      </c>
      <c r="L180" s="147">
        <f>+D180*40%</f>
        <v>16435382.200000001</v>
      </c>
      <c r="M180" s="88">
        <f>+D180*10%</f>
        <v>4108845.5500000003</v>
      </c>
      <c r="N180" s="88">
        <v>0</v>
      </c>
      <c r="O180" s="88">
        <v>0</v>
      </c>
      <c r="P180" s="88">
        <v>0</v>
      </c>
      <c r="Q180" s="88">
        <v>0</v>
      </c>
      <c r="R180" s="88">
        <v>0</v>
      </c>
      <c r="S180" s="88">
        <v>0</v>
      </c>
      <c r="T180" s="88">
        <v>0</v>
      </c>
      <c r="U180" s="88">
        <v>0</v>
      </c>
      <c r="V180" s="148">
        <f t="shared" si="112"/>
        <v>41088455.5</v>
      </c>
      <c r="W180" s="149">
        <f t="shared" si="111"/>
        <v>0</v>
      </c>
      <c r="X180" s="151"/>
    </row>
    <row r="181" spans="1:24" ht="29.25" customHeight="1" x14ac:dyDescent="0.2">
      <c r="A181" s="160">
        <v>1047</v>
      </c>
      <c r="B181" s="9" t="s">
        <v>147</v>
      </c>
      <c r="C181" s="8" t="s">
        <v>249</v>
      </c>
      <c r="D181" s="86">
        <v>2994699.9</v>
      </c>
      <c r="E181" s="88">
        <v>0</v>
      </c>
      <c r="F181" s="88">
        <v>0</v>
      </c>
      <c r="G181" s="88">
        <v>0</v>
      </c>
      <c r="H181" s="88">
        <v>0</v>
      </c>
      <c r="I181" s="147">
        <f t="shared" si="114"/>
        <v>2994699.9</v>
      </c>
      <c r="J181" s="88">
        <v>0</v>
      </c>
      <c r="K181" s="147"/>
      <c r="L181" s="147">
        <f t="shared" ref="L181:L188" si="115">+I181</f>
        <v>2994699.9</v>
      </c>
      <c r="M181" s="88">
        <v>0</v>
      </c>
      <c r="N181" s="88">
        <v>0</v>
      </c>
      <c r="O181" s="88">
        <v>0</v>
      </c>
      <c r="P181" s="88">
        <v>0</v>
      </c>
      <c r="Q181" s="88">
        <v>0</v>
      </c>
      <c r="R181" s="88">
        <v>0</v>
      </c>
      <c r="S181" s="88">
        <v>0</v>
      </c>
      <c r="T181" s="88">
        <v>0</v>
      </c>
      <c r="U181" s="88">
        <v>0</v>
      </c>
      <c r="V181" s="148">
        <f t="shared" si="112"/>
        <v>2994699.9</v>
      </c>
      <c r="W181" s="149">
        <f t="shared" si="111"/>
        <v>0</v>
      </c>
      <c r="X181" s="151"/>
    </row>
    <row r="182" spans="1:24" ht="29.25" customHeight="1" x14ac:dyDescent="0.2">
      <c r="A182" s="160">
        <v>1048</v>
      </c>
      <c r="B182" s="9" t="s">
        <v>147</v>
      </c>
      <c r="C182" s="8" t="s">
        <v>249</v>
      </c>
      <c r="D182" s="86">
        <v>3956571.3</v>
      </c>
      <c r="E182" s="88">
        <v>0</v>
      </c>
      <c r="F182" s="88">
        <v>0</v>
      </c>
      <c r="G182" s="88">
        <v>0</v>
      </c>
      <c r="H182" s="88">
        <v>0</v>
      </c>
      <c r="I182" s="147">
        <f t="shared" si="114"/>
        <v>3956571.3</v>
      </c>
      <c r="J182" s="88">
        <v>0</v>
      </c>
      <c r="K182" s="88">
        <v>0</v>
      </c>
      <c r="L182" s="147">
        <f t="shared" si="115"/>
        <v>3956571.3</v>
      </c>
      <c r="M182" s="88">
        <v>0</v>
      </c>
      <c r="N182" s="88">
        <v>0</v>
      </c>
      <c r="O182" s="88">
        <v>0</v>
      </c>
      <c r="P182" s="88">
        <v>0</v>
      </c>
      <c r="Q182" s="88">
        <v>0</v>
      </c>
      <c r="R182" s="88">
        <v>0</v>
      </c>
      <c r="S182" s="88">
        <v>0</v>
      </c>
      <c r="T182" s="88">
        <v>0</v>
      </c>
      <c r="U182" s="88">
        <v>0</v>
      </c>
      <c r="V182" s="148">
        <f t="shared" si="112"/>
        <v>3956571.3</v>
      </c>
      <c r="W182" s="149">
        <f t="shared" si="111"/>
        <v>0</v>
      </c>
      <c r="X182" s="151"/>
    </row>
    <row r="183" spans="1:24" x14ac:dyDescent="0.2">
      <c r="A183" s="160">
        <v>1049</v>
      </c>
      <c r="B183" s="9" t="s">
        <v>147</v>
      </c>
      <c r="C183" s="8" t="s">
        <v>249</v>
      </c>
      <c r="D183" s="86">
        <v>2970732.2</v>
      </c>
      <c r="E183" s="88">
        <v>0</v>
      </c>
      <c r="F183" s="88">
        <v>0</v>
      </c>
      <c r="G183" s="88">
        <v>0</v>
      </c>
      <c r="H183" s="88">
        <v>0</v>
      </c>
      <c r="I183" s="147">
        <f t="shared" si="114"/>
        <v>2970732.2</v>
      </c>
      <c r="J183" s="88">
        <v>0</v>
      </c>
      <c r="K183" s="88">
        <v>0</v>
      </c>
      <c r="L183" s="147">
        <f t="shared" si="115"/>
        <v>2970732.2</v>
      </c>
      <c r="M183" s="88">
        <v>0</v>
      </c>
      <c r="N183" s="88">
        <v>0</v>
      </c>
      <c r="O183" s="88">
        <v>0</v>
      </c>
      <c r="P183" s="88">
        <v>0</v>
      </c>
      <c r="Q183" s="88">
        <v>0</v>
      </c>
      <c r="R183" s="88">
        <v>0</v>
      </c>
      <c r="S183" s="88">
        <v>0</v>
      </c>
      <c r="T183" s="88">
        <v>0</v>
      </c>
      <c r="U183" s="88">
        <v>0</v>
      </c>
      <c r="V183" s="148">
        <f t="shared" si="112"/>
        <v>2970732.2</v>
      </c>
      <c r="W183" s="149">
        <f t="shared" si="111"/>
        <v>0</v>
      </c>
    </row>
    <row r="184" spans="1:24" x14ac:dyDescent="0.2">
      <c r="A184" s="160">
        <v>1050</v>
      </c>
      <c r="B184" s="9" t="s">
        <v>147</v>
      </c>
      <c r="C184" s="8" t="s">
        <v>249</v>
      </c>
      <c r="D184" s="86">
        <v>3965988.3</v>
      </c>
      <c r="E184" s="88">
        <v>0</v>
      </c>
      <c r="F184" s="88">
        <v>0</v>
      </c>
      <c r="G184" s="88">
        <v>0</v>
      </c>
      <c r="H184" s="88">
        <v>0</v>
      </c>
      <c r="I184" s="147">
        <f t="shared" si="114"/>
        <v>3965988.3</v>
      </c>
      <c r="J184" s="88">
        <v>0</v>
      </c>
      <c r="K184" s="88">
        <v>0</v>
      </c>
      <c r="L184" s="147">
        <f t="shared" si="115"/>
        <v>3965988.3</v>
      </c>
      <c r="M184" s="88">
        <v>0</v>
      </c>
      <c r="N184" s="88">
        <v>0</v>
      </c>
      <c r="O184" s="88">
        <v>0</v>
      </c>
      <c r="P184" s="88">
        <v>0</v>
      </c>
      <c r="Q184" s="88">
        <v>0</v>
      </c>
      <c r="R184" s="88">
        <v>0</v>
      </c>
      <c r="S184" s="88">
        <v>0</v>
      </c>
      <c r="T184" s="88">
        <v>0</v>
      </c>
      <c r="U184" s="88">
        <v>0</v>
      </c>
      <c r="V184" s="148">
        <f t="shared" si="112"/>
        <v>3965988.3</v>
      </c>
      <c r="W184" s="149">
        <f t="shared" si="111"/>
        <v>0</v>
      </c>
    </row>
    <row r="185" spans="1:24" x14ac:dyDescent="0.2">
      <c r="A185" s="160">
        <v>1052</v>
      </c>
      <c r="B185" s="9" t="s">
        <v>147</v>
      </c>
      <c r="C185" s="8" t="s">
        <v>249</v>
      </c>
      <c r="D185" s="86">
        <v>2989052.1</v>
      </c>
      <c r="E185" s="88">
        <v>0</v>
      </c>
      <c r="F185" s="88">
        <v>0</v>
      </c>
      <c r="G185" s="88">
        <v>0</v>
      </c>
      <c r="H185" s="88">
        <v>0</v>
      </c>
      <c r="I185" s="147">
        <f t="shared" si="114"/>
        <v>2989052.1</v>
      </c>
      <c r="J185" s="88">
        <v>0</v>
      </c>
      <c r="K185" s="88">
        <v>0</v>
      </c>
      <c r="L185" s="147">
        <f t="shared" si="115"/>
        <v>2989052.1</v>
      </c>
      <c r="M185" s="88">
        <v>0</v>
      </c>
      <c r="N185" s="88">
        <v>0</v>
      </c>
      <c r="O185" s="88">
        <v>0</v>
      </c>
      <c r="P185" s="88">
        <v>0</v>
      </c>
      <c r="Q185" s="88">
        <v>0</v>
      </c>
      <c r="R185" s="88">
        <v>0</v>
      </c>
      <c r="S185" s="88">
        <v>0</v>
      </c>
      <c r="T185" s="88">
        <v>0</v>
      </c>
      <c r="U185" s="88">
        <v>0</v>
      </c>
      <c r="V185" s="148">
        <f t="shared" si="112"/>
        <v>2989052.1</v>
      </c>
      <c r="W185" s="149">
        <f t="shared" si="111"/>
        <v>0</v>
      </c>
    </row>
    <row r="186" spans="1:24" x14ac:dyDescent="0.2">
      <c r="A186" s="160">
        <v>1054</v>
      </c>
      <c r="B186" s="9" t="s">
        <v>147</v>
      </c>
      <c r="C186" s="8" t="s">
        <v>249</v>
      </c>
      <c r="D186" s="86">
        <v>2993074.2</v>
      </c>
      <c r="E186" s="88">
        <v>0</v>
      </c>
      <c r="F186" s="88">
        <v>0</v>
      </c>
      <c r="G186" s="88">
        <v>0</v>
      </c>
      <c r="H186" s="88">
        <v>0</v>
      </c>
      <c r="I186" s="147">
        <f t="shared" si="114"/>
        <v>2993074.2</v>
      </c>
      <c r="J186" s="88">
        <v>0</v>
      </c>
      <c r="K186" s="88">
        <v>0</v>
      </c>
      <c r="L186" s="147">
        <f t="shared" si="115"/>
        <v>2993074.2</v>
      </c>
      <c r="M186" s="88">
        <v>0</v>
      </c>
      <c r="N186" s="88">
        <v>0</v>
      </c>
      <c r="O186" s="88">
        <v>0</v>
      </c>
      <c r="P186" s="88">
        <v>0</v>
      </c>
      <c r="Q186" s="88">
        <v>0</v>
      </c>
      <c r="R186" s="88">
        <v>0</v>
      </c>
      <c r="S186" s="88">
        <v>0</v>
      </c>
      <c r="T186" s="88">
        <v>0</v>
      </c>
      <c r="U186" s="88">
        <v>0</v>
      </c>
      <c r="V186" s="148">
        <f t="shared" si="112"/>
        <v>2993074.2</v>
      </c>
      <c r="W186" s="149">
        <f t="shared" si="111"/>
        <v>0</v>
      </c>
    </row>
    <row r="187" spans="1:24" x14ac:dyDescent="0.2">
      <c r="A187" s="160">
        <v>1055</v>
      </c>
      <c r="B187" s="9" t="s">
        <v>147</v>
      </c>
      <c r="C187" s="8" t="s">
        <v>249</v>
      </c>
      <c r="D187" s="86">
        <v>2996698.9</v>
      </c>
      <c r="E187" s="88">
        <v>0</v>
      </c>
      <c r="F187" s="88">
        <v>0</v>
      </c>
      <c r="G187" s="88">
        <v>0</v>
      </c>
      <c r="H187" s="88">
        <v>0</v>
      </c>
      <c r="I187" s="147">
        <f t="shared" si="114"/>
        <v>2996698.9</v>
      </c>
      <c r="J187" s="88">
        <v>0</v>
      </c>
      <c r="K187" s="88">
        <v>0</v>
      </c>
      <c r="L187" s="147">
        <f t="shared" si="115"/>
        <v>2996698.9</v>
      </c>
      <c r="M187" s="88">
        <v>0</v>
      </c>
      <c r="N187" s="88">
        <v>0</v>
      </c>
      <c r="O187" s="88">
        <v>0</v>
      </c>
      <c r="P187" s="88">
        <v>0</v>
      </c>
      <c r="Q187" s="88">
        <v>0</v>
      </c>
      <c r="R187" s="88">
        <v>0</v>
      </c>
      <c r="S187" s="88">
        <v>0</v>
      </c>
      <c r="T187" s="88">
        <v>0</v>
      </c>
      <c r="U187" s="88">
        <v>0</v>
      </c>
      <c r="V187" s="148">
        <f t="shared" si="112"/>
        <v>2996698.9</v>
      </c>
      <c r="W187" s="149">
        <f t="shared" si="111"/>
        <v>0</v>
      </c>
    </row>
    <row r="188" spans="1:24" x14ac:dyDescent="0.2">
      <c r="A188" s="160">
        <v>1113</v>
      </c>
      <c r="B188" s="9" t="s">
        <v>147</v>
      </c>
      <c r="C188" s="8" t="s">
        <v>249</v>
      </c>
      <c r="D188" s="86">
        <v>2988486.4</v>
      </c>
      <c r="E188" s="88">
        <v>0</v>
      </c>
      <c r="F188" s="88">
        <v>0</v>
      </c>
      <c r="G188" s="88">
        <v>0</v>
      </c>
      <c r="H188" s="88">
        <v>0</v>
      </c>
      <c r="I188" s="147">
        <f t="shared" si="114"/>
        <v>2988486.4</v>
      </c>
      <c r="J188" s="88">
        <v>0</v>
      </c>
      <c r="K188" s="88">
        <v>0</v>
      </c>
      <c r="L188" s="147">
        <f t="shared" si="115"/>
        <v>2988486.4</v>
      </c>
      <c r="M188" s="88">
        <v>0</v>
      </c>
      <c r="N188" s="88">
        <v>0</v>
      </c>
      <c r="O188" s="88">
        <v>0</v>
      </c>
      <c r="P188" s="88">
        <v>0</v>
      </c>
      <c r="Q188" s="88">
        <v>0</v>
      </c>
      <c r="R188" s="88">
        <v>0</v>
      </c>
      <c r="S188" s="88">
        <v>0</v>
      </c>
      <c r="T188" s="88">
        <v>0</v>
      </c>
      <c r="U188" s="88">
        <v>0</v>
      </c>
      <c r="V188" s="148">
        <f t="shared" si="112"/>
        <v>2988486.4</v>
      </c>
      <c r="W188" s="149">
        <f t="shared" si="111"/>
        <v>0</v>
      </c>
    </row>
    <row r="189" spans="1:24" x14ac:dyDescent="0.2">
      <c r="A189" s="160">
        <v>1114</v>
      </c>
      <c r="B189" s="9" t="s">
        <v>147</v>
      </c>
      <c r="C189" s="8" t="s">
        <v>249</v>
      </c>
      <c r="D189" s="86">
        <v>39607869</v>
      </c>
      <c r="E189" s="88">
        <v>0</v>
      </c>
      <c r="F189" s="88">
        <v>0</v>
      </c>
      <c r="G189" s="88">
        <v>0</v>
      </c>
      <c r="H189" s="88">
        <v>0</v>
      </c>
      <c r="I189" s="147">
        <f t="shared" si="114"/>
        <v>39607869</v>
      </c>
      <c r="J189" s="88">
        <v>0</v>
      </c>
      <c r="K189" s="147">
        <f>+D189*50%</f>
        <v>19803934.5</v>
      </c>
      <c r="L189" s="147">
        <f>+D189*40%</f>
        <v>15843147.600000001</v>
      </c>
      <c r="M189" s="147">
        <f>+D189*10%</f>
        <v>3960786.9000000004</v>
      </c>
      <c r="N189" s="88">
        <v>0</v>
      </c>
      <c r="O189" s="88">
        <v>0</v>
      </c>
      <c r="P189" s="88">
        <v>0</v>
      </c>
      <c r="Q189" s="88">
        <v>0</v>
      </c>
      <c r="R189" s="88">
        <v>0</v>
      </c>
      <c r="S189" s="88">
        <v>0</v>
      </c>
      <c r="T189" s="88">
        <v>0</v>
      </c>
      <c r="U189" s="88">
        <v>0</v>
      </c>
      <c r="V189" s="148">
        <f t="shared" si="112"/>
        <v>39607869</v>
      </c>
      <c r="W189" s="149">
        <f t="shared" ref="W189:W209" si="116">I189-V189</f>
        <v>0</v>
      </c>
    </row>
    <row r="190" spans="1:24" x14ac:dyDescent="0.2">
      <c r="A190" s="160">
        <v>1116</v>
      </c>
      <c r="B190" s="9" t="s">
        <v>147</v>
      </c>
      <c r="C190" s="8" t="s">
        <v>249</v>
      </c>
      <c r="D190" s="86">
        <v>8204276.5</v>
      </c>
      <c r="E190" s="88">
        <v>0</v>
      </c>
      <c r="F190" s="88">
        <v>0</v>
      </c>
      <c r="G190" s="88">
        <v>0</v>
      </c>
      <c r="H190" s="88">
        <v>0</v>
      </c>
      <c r="I190" s="147">
        <f t="shared" si="114"/>
        <v>8204276.5</v>
      </c>
      <c r="J190" s="88">
        <v>0</v>
      </c>
      <c r="K190" s="88">
        <v>0</v>
      </c>
      <c r="L190" s="147">
        <f>+I190</f>
        <v>8204276.5</v>
      </c>
      <c r="M190" s="88">
        <v>0</v>
      </c>
      <c r="N190" s="88">
        <v>0</v>
      </c>
      <c r="O190" s="88">
        <v>0</v>
      </c>
      <c r="P190" s="88">
        <v>0</v>
      </c>
      <c r="Q190" s="88">
        <v>0</v>
      </c>
      <c r="R190" s="88">
        <v>0</v>
      </c>
      <c r="S190" s="88">
        <v>0</v>
      </c>
      <c r="T190" s="88">
        <v>0</v>
      </c>
      <c r="U190" s="88">
        <v>0</v>
      </c>
      <c r="V190" s="148">
        <f t="shared" ref="V190:V205" si="117">J190+K190+L190+M190+N190+O190+P190+Q190+R190+S190+T190+U190</f>
        <v>8204276.5</v>
      </c>
      <c r="W190" s="149">
        <f t="shared" si="116"/>
        <v>0</v>
      </c>
    </row>
    <row r="191" spans="1:24" x14ac:dyDescent="0.2">
      <c r="A191" s="160">
        <v>1124</v>
      </c>
      <c r="B191" s="9" t="s">
        <v>147</v>
      </c>
      <c r="C191" s="8" t="s">
        <v>249</v>
      </c>
      <c r="D191" s="86">
        <v>8501104.9000000004</v>
      </c>
      <c r="E191" s="88">
        <v>0</v>
      </c>
      <c r="F191" s="88">
        <v>0</v>
      </c>
      <c r="G191" s="88">
        <v>0</v>
      </c>
      <c r="H191" s="88">
        <v>0</v>
      </c>
      <c r="I191" s="147">
        <f t="shared" si="114"/>
        <v>8501104.9000000004</v>
      </c>
      <c r="J191" s="88">
        <v>0</v>
      </c>
      <c r="K191" s="88">
        <v>0</v>
      </c>
      <c r="L191" s="147">
        <f>+I191</f>
        <v>8501104.9000000004</v>
      </c>
      <c r="M191" s="88">
        <v>0</v>
      </c>
      <c r="N191" s="88">
        <v>0</v>
      </c>
      <c r="O191" s="88">
        <v>0</v>
      </c>
      <c r="P191" s="88">
        <v>0</v>
      </c>
      <c r="Q191" s="88">
        <v>0</v>
      </c>
      <c r="R191" s="88">
        <v>0</v>
      </c>
      <c r="S191" s="88">
        <v>0</v>
      </c>
      <c r="T191" s="88">
        <v>0</v>
      </c>
      <c r="U191" s="88">
        <v>0</v>
      </c>
      <c r="V191" s="148">
        <f t="shared" si="117"/>
        <v>8501104.9000000004</v>
      </c>
      <c r="W191" s="149">
        <f t="shared" si="116"/>
        <v>0</v>
      </c>
    </row>
    <row r="192" spans="1:24" x14ac:dyDescent="0.2">
      <c r="A192" s="160">
        <v>1125</v>
      </c>
      <c r="B192" s="9" t="s">
        <v>147</v>
      </c>
      <c r="C192" s="8" t="s">
        <v>249</v>
      </c>
      <c r="D192" s="86">
        <v>8501104.9000000004</v>
      </c>
      <c r="E192" s="88">
        <v>0</v>
      </c>
      <c r="F192" s="88">
        <v>0</v>
      </c>
      <c r="G192" s="88">
        <v>0</v>
      </c>
      <c r="H192" s="88">
        <v>0</v>
      </c>
      <c r="I192" s="147">
        <f>D192+E192-F192+G192-H192</f>
        <v>8501104.9000000004</v>
      </c>
      <c r="J192" s="88">
        <v>0</v>
      </c>
      <c r="K192" s="88">
        <v>0</v>
      </c>
      <c r="L192" s="147">
        <f>+I192</f>
        <v>8501104.9000000004</v>
      </c>
      <c r="M192" s="88">
        <v>0</v>
      </c>
      <c r="N192" s="88">
        <v>0</v>
      </c>
      <c r="O192" s="88">
        <v>0</v>
      </c>
      <c r="P192" s="88">
        <v>0</v>
      </c>
      <c r="Q192" s="88">
        <v>0</v>
      </c>
      <c r="R192" s="88">
        <v>0</v>
      </c>
      <c r="S192" s="88">
        <v>0</v>
      </c>
      <c r="T192" s="88">
        <v>0</v>
      </c>
      <c r="U192" s="88">
        <v>0</v>
      </c>
      <c r="V192" s="148">
        <f t="shared" si="117"/>
        <v>8501104.9000000004</v>
      </c>
      <c r="W192" s="149">
        <f t="shared" si="116"/>
        <v>0</v>
      </c>
    </row>
    <row r="193" spans="1:23" ht="25.5" x14ac:dyDescent="0.2">
      <c r="A193" s="160">
        <v>1128</v>
      </c>
      <c r="B193" s="9" t="s">
        <v>277</v>
      </c>
      <c r="C193" s="8" t="s">
        <v>249</v>
      </c>
      <c r="D193" s="86">
        <v>3166010.2</v>
      </c>
      <c r="E193" s="88">
        <v>0</v>
      </c>
      <c r="F193" s="88">
        <v>0</v>
      </c>
      <c r="G193" s="88">
        <v>0</v>
      </c>
      <c r="H193" s="88">
        <v>0</v>
      </c>
      <c r="I193" s="147">
        <f>D193+E193-F193+G193-H193</f>
        <v>3166010.2</v>
      </c>
      <c r="J193" s="88">
        <v>0</v>
      </c>
      <c r="K193" s="88">
        <v>0</v>
      </c>
      <c r="L193" s="147">
        <f>+I193</f>
        <v>3166010.2</v>
      </c>
      <c r="M193" s="88">
        <v>0</v>
      </c>
      <c r="N193" s="88">
        <v>0</v>
      </c>
      <c r="O193" s="88">
        <v>0</v>
      </c>
      <c r="P193" s="88">
        <v>0</v>
      </c>
      <c r="Q193" s="88">
        <v>0</v>
      </c>
      <c r="R193" s="88">
        <v>0</v>
      </c>
      <c r="S193" s="88">
        <v>0</v>
      </c>
      <c r="T193" s="88">
        <v>0</v>
      </c>
      <c r="U193" s="88">
        <v>0</v>
      </c>
      <c r="V193" s="148">
        <f t="shared" si="117"/>
        <v>3166010.2</v>
      </c>
      <c r="W193" s="149">
        <f t="shared" si="116"/>
        <v>0</v>
      </c>
    </row>
    <row r="194" spans="1:23" x14ac:dyDescent="0.2">
      <c r="A194" s="160">
        <v>1141</v>
      </c>
      <c r="B194" s="9" t="s">
        <v>147</v>
      </c>
      <c r="C194" s="8" t="s">
        <v>249</v>
      </c>
      <c r="D194" s="86">
        <v>7005673.4000000004</v>
      </c>
      <c r="E194" s="88">
        <v>0</v>
      </c>
      <c r="F194" s="88">
        <v>0</v>
      </c>
      <c r="G194" s="88">
        <v>0</v>
      </c>
      <c r="H194" s="88">
        <v>0</v>
      </c>
      <c r="I194" s="147">
        <f>D194+E194-F194+G194-H194</f>
        <v>7005673.4000000004</v>
      </c>
      <c r="J194" s="88">
        <v>0</v>
      </c>
      <c r="K194" s="88">
        <v>0</v>
      </c>
      <c r="L194" s="147">
        <f>+I194</f>
        <v>7005673.4000000004</v>
      </c>
      <c r="M194" s="88">
        <v>0</v>
      </c>
      <c r="N194" s="88">
        <v>0</v>
      </c>
      <c r="O194" s="88">
        <v>0</v>
      </c>
      <c r="P194" s="88">
        <v>0</v>
      </c>
      <c r="Q194" s="88">
        <v>0</v>
      </c>
      <c r="R194" s="88">
        <v>0</v>
      </c>
      <c r="S194" s="88">
        <v>0</v>
      </c>
      <c r="T194" s="88">
        <v>0</v>
      </c>
      <c r="U194" s="88">
        <v>0</v>
      </c>
      <c r="V194" s="148">
        <f t="shared" si="117"/>
        <v>7005673.4000000004</v>
      </c>
      <c r="W194" s="149">
        <f t="shared" si="116"/>
        <v>0</v>
      </c>
    </row>
    <row r="195" spans="1:23" ht="25.5" x14ac:dyDescent="0.2">
      <c r="A195" s="160">
        <v>1178</v>
      </c>
      <c r="B195" s="9" t="s">
        <v>148</v>
      </c>
      <c r="C195" s="8" t="s">
        <v>233</v>
      </c>
      <c r="D195" s="86">
        <v>682636010.55999994</v>
      </c>
      <c r="E195" s="88">
        <v>0</v>
      </c>
      <c r="F195" s="88">
        <v>0</v>
      </c>
      <c r="G195" s="88">
        <v>0</v>
      </c>
      <c r="H195" s="88">
        <v>0</v>
      </c>
      <c r="I195" s="147">
        <f>D195+E195-F195+G195-H195</f>
        <v>682636010.55999994</v>
      </c>
      <c r="J195" s="88">
        <v>0</v>
      </c>
      <c r="K195" s="147">
        <v>122874481.90079999</v>
      </c>
      <c r="L195" s="147">
        <v>122874481.90079999</v>
      </c>
      <c r="M195" s="147">
        <v>122874481.90079999</v>
      </c>
      <c r="N195" s="147">
        <v>122874481.90079999</v>
      </c>
      <c r="O195" s="147">
        <v>122874481.90079999</v>
      </c>
      <c r="P195" s="88">
        <v>0</v>
      </c>
      <c r="Q195" s="88">
        <v>0</v>
      </c>
      <c r="R195" s="88">
        <v>0</v>
      </c>
      <c r="S195" s="88">
        <v>0</v>
      </c>
      <c r="T195" s="88">
        <v>0</v>
      </c>
      <c r="U195" s="147">
        <v>68263601.055999994</v>
      </c>
      <c r="V195" s="148">
        <f t="shared" si="117"/>
        <v>682636010.55999994</v>
      </c>
      <c r="W195" s="149">
        <f t="shared" si="116"/>
        <v>0</v>
      </c>
    </row>
    <row r="196" spans="1:23" ht="25.5" x14ac:dyDescent="0.2">
      <c r="A196" s="160">
        <v>1179</v>
      </c>
      <c r="B196" s="9" t="s">
        <v>148</v>
      </c>
      <c r="C196" s="8" t="s">
        <v>233</v>
      </c>
      <c r="D196" s="86">
        <v>313839809.69999999</v>
      </c>
      <c r="E196" s="88">
        <v>0</v>
      </c>
      <c r="F196" s="88">
        <v>0</v>
      </c>
      <c r="G196" s="88">
        <v>0</v>
      </c>
      <c r="H196" s="88">
        <v>0</v>
      </c>
      <c r="I196" s="147">
        <f>D196+E196-F196+G196-H196</f>
        <v>313839809.69999999</v>
      </c>
      <c r="J196" s="88">
        <v>0</v>
      </c>
      <c r="K196" s="147">
        <v>56491165.746000007</v>
      </c>
      <c r="L196" s="147">
        <v>56491165.746000007</v>
      </c>
      <c r="M196" s="147">
        <v>56491165.746000007</v>
      </c>
      <c r="N196" s="147">
        <v>56491165.746000007</v>
      </c>
      <c r="O196" s="147">
        <v>56491165.746000007</v>
      </c>
      <c r="P196" s="88">
        <v>0</v>
      </c>
      <c r="Q196" s="88">
        <v>0</v>
      </c>
      <c r="R196" s="88">
        <v>0</v>
      </c>
      <c r="S196" s="88">
        <v>0</v>
      </c>
      <c r="T196" s="88">
        <v>0</v>
      </c>
      <c r="U196" s="147">
        <v>31383980.969999999</v>
      </c>
      <c r="V196" s="148">
        <f t="shared" si="117"/>
        <v>313839809.70000005</v>
      </c>
      <c r="W196" s="149">
        <f t="shared" si="116"/>
        <v>0</v>
      </c>
    </row>
    <row r="197" spans="1:23" ht="25.5" x14ac:dyDescent="0.2">
      <c r="A197" s="160">
        <v>1080</v>
      </c>
      <c r="B197" s="9" t="s">
        <v>140</v>
      </c>
      <c r="C197" s="8" t="s">
        <v>233</v>
      </c>
      <c r="D197" s="86">
        <v>180347129</v>
      </c>
      <c r="E197" s="88">
        <v>0</v>
      </c>
      <c r="F197" s="88">
        <v>0</v>
      </c>
      <c r="G197" s="88">
        <v>0</v>
      </c>
      <c r="H197" s="88">
        <v>0</v>
      </c>
      <c r="I197" s="147">
        <f t="shared" ref="I197:I199" si="118">D197+E197-F197+G197-H197</f>
        <v>180347129</v>
      </c>
      <c r="J197" s="147"/>
      <c r="K197" s="147"/>
      <c r="L197" s="147">
        <v>72138851.600000009</v>
      </c>
      <c r="M197" s="147"/>
      <c r="N197" s="147"/>
      <c r="O197" s="147">
        <v>90173564.499999985</v>
      </c>
      <c r="P197" s="147"/>
      <c r="Q197" s="147"/>
      <c r="R197" s="147"/>
      <c r="S197" s="147"/>
      <c r="T197" s="147"/>
      <c r="U197" s="147">
        <v>18034712.900000002</v>
      </c>
      <c r="V197" s="148">
        <f t="shared" si="117"/>
        <v>180347129</v>
      </c>
      <c r="W197" s="149">
        <f t="shared" si="116"/>
        <v>0</v>
      </c>
    </row>
    <row r="198" spans="1:23" x14ac:dyDescent="0.2">
      <c r="A198" s="160">
        <v>1081</v>
      </c>
      <c r="B198" s="9" t="s">
        <v>147</v>
      </c>
      <c r="C198" s="8" t="s">
        <v>249</v>
      </c>
      <c r="D198" s="86">
        <v>5690350.9000000004</v>
      </c>
      <c r="E198" s="88">
        <v>0</v>
      </c>
      <c r="F198" s="88">
        <v>0</v>
      </c>
      <c r="G198" s="88">
        <v>0</v>
      </c>
      <c r="H198" s="88">
        <v>0</v>
      </c>
      <c r="I198" s="147">
        <f t="shared" si="118"/>
        <v>5690350.9000000004</v>
      </c>
      <c r="J198" s="147"/>
      <c r="K198" s="147"/>
      <c r="L198" s="147">
        <f>+I198</f>
        <v>5690350.9000000004</v>
      </c>
      <c r="M198" s="147"/>
      <c r="N198" s="147"/>
      <c r="O198" s="147"/>
      <c r="P198" s="147"/>
      <c r="Q198" s="147"/>
      <c r="R198" s="147"/>
      <c r="S198" s="147"/>
      <c r="T198" s="147"/>
      <c r="U198" s="147"/>
      <c r="V198" s="148">
        <f t="shared" si="117"/>
        <v>5690350.9000000004</v>
      </c>
      <c r="W198" s="149">
        <f t="shared" si="116"/>
        <v>0</v>
      </c>
    </row>
    <row r="199" spans="1:23" ht="25.5" x14ac:dyDescent="0.2">
      <c r="A199" s="160">
        <v>1087</v>
      </c>
      <c r="B199" s="9" t="s">
        <v>148</v>
      </c>
      <c r="C199" s="8" t="s">
        <v>233</v>
      </c>
      <c r="D199" s="86">
        <v>10600000.01</v>
      </c>
      <c r="E199" s="88">
        <v>0</v>
      </c>
      <c r="F199" s="88">
        <v>0</v>
      </c>
      <c r="G199" s="88">
        <v>0</v>
      </c>
      <c r="H199" s="88">
        <v>0</v>
      </c>
      <c r="I199" s="147">
        <f t="shared" si="118"/>
        <v>10600000.01</v>
      </c>
      <c r="J199" s="147"/>
      <c r="K199" s="147"/>
      <c r="L199" s="147">
        <v>10600000.01</v>
      </c>
      <c r="M199" s="147"/>
      <c r="N199" s="147"/>
      <c r="O199" s="147"/>
      <c r="P199" s="147"/>
      <c r="Q199" s="147"/>
      <c r="R199" s="147"/>
      <c r="S199" s="147"/>
      <c r="T199" s="147"/>
      <c r="U199" s="147"/>
      <c r="V199" s="148">
        <f t="shared" si="117"/>
        <v>10600000.01</v>
      </c>
      <c r="W199" s="149">
        <f t="shared" si="116"/>
        <v>0</v>
      </c>
    </row>
    <row r="200" spans="1:23" ht="25.5" x14ac:dyDescent="0.2">
      <c r="A200" s="160">
        <v>1213</v>
      </c>
      <c r="B200" s="9" t="s">
        <v>277</v>
      </c>
      <c r="C200" s="8" t="s">
        <v>249</v>
      </c>
      <c r="D200" s="86">
        <v>5028070.7</v>
      </c>
      <c r="E200" s="88">
        <v>0</v>
      </c>
      <c r="F200" s="88">
        <v>0</v>
      </c>
      <c r="G200" s="88">
        <v>0</v>
      </c>
      <c r="H200" s="88">
        <v>0</v>
      </c>
      <c r="I200" s="147">
        <f t="shared" ref="I200:I210" si="119">D200+E200-F200+G200-H200</f>
        <v>5028070.7</v>
      </c>
      <c r="J200" s="88">
        <v>0</v>
      </c>
      <c r="K200" s="147"/>
      <c r="L200" s="147">
        <f>+I200</f>
        <v>5028070.7</v>
      </c>
      <c r="M200" s="88">
        <v>0</v>
      </c>
      <c r="N200" s="88">
        <v>0</v>
      </c>
      <c r="O200" s="147"/>
      <c r="P200" s="88">
        <v>0</v>
      </c>
      <c r="Q200" s="88">
        <v>0</v>
      </c>
      <c r="R200" s="88">
        <v>0</v>
      </c>
      <c r="S200" s="88">
        <v>0</v>
      </c>
      <c r="T200" s="88">
        <v>0</v>
      </c>
      <c r="U200" s="88">
        <v>0</v>
      </c>
      <c r="V200" s="148">
        <f t="shared" si="117"/>
        <v>5028070.7</v>
      </c>
      <c r="W200" s="149">
        <f t="shared" si="116"/>
        <v>0</v>
      </c>
    </row>
    <row r="201" spans="1:23" ht="25.5" x14ac:dyDescent="0.2">
      <c r="A201" s="160">
        <v>1240</v>
      </c>
      <c r="B201" s="9" t="s">
        <v>278</v>
      </c>
      <c r="C201" s="8" t="s">
        <v>233</v>
      </c>
      <c r="D201" s="86">
        <v>1080000</v>
      </c>
      <c r="E201" s="88">
        <v>0</v>
      </c>
      <c r="F201" s="88">
        <v>0</v>
      </c>
      <c r="G201" s="88">
        <v>0</v>
      </c>
      <c r="H201" s="88">
        <v>0</v>
      </c>
      <c r="I201" s="147">
        <f t="shared" si="119"/>
        <v>1080000</v>
      </c>
      <c r="J201" s="88">
        <v>0</v>
      </c>
      <c r="K201" s="147">
        <v>1080000</v>
      </c>
      <c r="L201" s="147">
        <v>0</v>
      </c>
      <c r="M201" s="147">
        <v>0</v>
      </c>
      <c r="N201" s="88">
        <v>0</v>
      </c>
      <c r="O201" s="88">
        <v>0</v>
      </c>
      <c r="P201" s="88">
        <v>0</v>
      </c>
      <c r="Q201" s="88">
        <v>0</v>
      </c>
      <c r="R201" s="88">
        <v>0</v>
      </c>
      <c r="S201" s="88">
        <v>0</v>
      </c>
      <c r="T201" s="88">
        <v>0</v>
      </c>
      <c r="U201" s="88">
        <v>0</v>
      </c>
      <c r="V201" s="148">
        <f t="shared" si="117"/>
        <v>1080000</v>
      </c>
      <c r="W201" s="149">
        <f t="shared" si="116"/>
        <v>0</v>
      </c>
    </row>
    <row r="202" spans="1:23" ht="25.5" x14ac:dyDescent="0.2">
      <c r="A202" s="160">
        <v>1324</v>
      </c>
      <c r="B202" s="9" t="s">
        <v>277</v>
      </c>
      <c r="C202" s="8" t="s">
        <v>249</v>
      </c>
      <c r="D202" s="86">
        <v>40123380</v>
      </c>
      <c r="E202" s="88">
        <v>0</v>
      </c>
      <c r="F202" s="88">
        <v>0</v>
      </c>
      <c r="G202" s="88">
        <v>0</v>
      </c>
      <c r="H202" s="88">
        <v>0</v>
      </c>
      <c r="I202" s="147">
        <f t="shared" si="119"/>
        <v>40123380</v>
      </c>
      <c r="J202" s="88">
        <v>0</v>
      </c>
      <c r="K202" s="147">
        <f>+D202*50%</f>
        <v>20061690</v>
      </c>
      <c r="L202" s="147">
        <f>+D202*40%</f>
        <v>16049352</v>
      </c>
      <c r="M202" s="147">
        <f>+D202*10%</f>
        <v>4012338</v>
      </c>
      <c r="N202" s="88">
        <v>0</v>
      </c>
      <c r="O202" s="88">
        <v>0</v>
      </c>
      <c r="P202" s="88">
        <v>0</v>
      </c>
      <c r="Q202" s="88">
        <v>0</v>
      </c>
      <c r="R202" s="88">
        <v>0</v>
      </c>
      <c r="S202" s="88">
        <v>0</v>
      </c>
      <c r="T202" s="88">
        <v>0</v>
      </c>
      <c r="U202" s="88">
        <v>0</v>
      </c>
      <c r="V202" s="148">
        <f t="shared" si="117"/>
        <v>40123380</v>
      </c>
      <c r="W202" s="149">
        <f t="shared" si="116"/>
        <v>0</v>
      </c>
    </row>
    <row r="203" spans="1:23" ht="25.5" x14ac:dyDescent="0.2">
      <c r="A203" s="160">
        <v>1325</v>
      </c>
      <c r="B203" s="9" t="s">
        <v>277</v>
      </c>
      <c r="C203" s="8" t="s">
        <v>249</v>
      </c>
      <c r="D203" s="86">
        <v>2207993.2999999998</v>
      </c>
      <c r="E203" s="88">
        <v>0</v>
      </c>
      <c r="F203" s="88">
        <v>0</v>
      </c>
      <c r="G203" s="88">
        <v>0</v>
      </c>
      <c r="H203" s="88">
        <v>0</v>
      </c>
      <c r="I203" s="147">
        <f t="shared" si="119"/>
        <v>2207993.2999999998</v>
      </c>
      <c r="J203" s="88">
        <v>0</v>
      </c>
      <c r="K203" s="88">
        <v>0</v>
      </c>
      <c r="L203" s="147">
        <f>+I203</f>
        <v>2207993.2999999998</v>
      </c>
      <c r="M203" s="88">
        <v>0</v>
      </c>
      <c r="N203" s="88">
        <v>0</v>
      </c>
      <c r="O203" s="88">
        <v>0</v>
      </c>
      <c r="P203" s="88">
        <v>0</v>
      </c>
      <c r="Q203" s="88">
        <v>0</v>
      </c>
      <c r="R203" s="88">
        <v>0</v>
      </c>
      <c r="S203" s="88">
        <v>0</v>
      </c>
      <c r="T203" s="88">
        <v>0</v>
      </c>
      <c r="U203" s="88">
        <v>0</v>
      </c>
      <c r="V203" s="148">
        <f t="shared" si="117"/>
        <v>2207993.2999999998</v>
      </c>
      <c r="W203" s="149">
        <f t="shared" si="116"/>
        <v>0</v>
      </c>
    </row>
    <row r="204" spans="1:23" ht="25.5" x14ac:dyDescent="0.2">
      <c r="A204" s="160">
        <v>1326</v>
      </c>
      <c r="B204" s="9" t="s">
        <v>277</v>
      </c>
      <c r="C204" s="8" t="s">
        <v>249</v>
      </c>
      <c r="D204" s="86">
        <v>2197968.4</v>
      </c>
      <c r="E204" s="88">
        <v>0</v>
      </c>
      <c r="F204" s="88">
        <v>0</v>
      </c>
      <c r="G204" s="88">
        <v>0</v>
      </c>
      <c r="H204" s="88">
        <v>0</v>
      </c>
      <c r="I204" s="147">
        <f t="shared" si="119"/>
        <v>2197968.4</v>
      </c>
      <c r="J204" s="88">
        <v>0</v>
      </c>
      <c r="K204" s="88">
        <v>0</v>
      </c>
      <c r="L204" s="147">
        <f>+I204</f>
        <v>2197968.4</v>
      </c>
      <c r="M204" s="88">
        <v>0</v>
      </c>
      <c r="N204" s="88">
        <v>0</v>
      </c>
      <c r="O204" s="88">
        <v>0</v>
      </c>
      <c r="P204" s="88">
        <v>0</v>
      </c>
      <c r="Q204" s="88">
        <v>0</v>
      </c>
      <c r="R204" s="88">
        <v>0</v>
      </c>
      <c r="S204" s="88">
        <v>0</v>
      </c>
      <c r="T204" s="88">
        <v>0</v>
      </c>
      <c r="U204" s="88">
        <v>0</v>
      </c>
      <c r="V204" s="147">
        <f t="shared" si="117"/>
        <v>2197968.4</v>
      </c>
      <c r="W204" s="149">
        <f t="shared" si="116"/>
        <v>0</v>
      </c>
    </row>
    <row r="205" spans="1:23" ht="25.5" x14ac:dyDescent="0.2">
      <c r="A205" s="160">
        <v>1328</v>
      </c>
      <c r="B205" s="9" t="s">
        <v>156</v>
      </c>
      <c r="C205" s="8" t="s">
        <v>233</v>
      </c>
      <c r="D205" s="86">
        <v>1316000</v>
      </c>
      <c r="E205" s="88">
        <v>0</v>
      </c>
      <c r="F205" s="88">
        <v>0</v>
      </c>
      <c r="G205" s="88">
        <v>0</v>
      </c>
      <c r="H205" s="88">
        <v>0</v>
      </c>
      <c r="I205" s="147">
        <f t="shared" si="119"/>
        <v>1316000</v>
      </c>
      <c r="J205" s="88">
        <v>0</v>
      </c>
      <c r="K205" s="88">
        <v>0</v>
      </c>
      <c r="L205" s="147">
        <v>1316000</v>
      </c>
      <c r="M205" s="88">
        <v>0</v>
      </c>
      <c r="N205" s="88">
        <v>0</v>
      </c>
      <c r="O205" s="88">
        <v>0</v>
      </c>
      <c r="P205" s="88">
        <v>0</v>
      </c>
      <c r="Q205" s="88">
        <v>0</v>
      </c>
      <c r="R205" s="88">
        <v>0</v>
      </c>
      <c r="S205" s="88">
        <v>0</v>
      </c>
      <c r="T205" s="88">
        <v>0</v>
      </c>
      <c r="U205" s="88">
        <v>0</v>
      </c>
      <c r="V205" s="147">
        <f t="shared" si="117"/>
        <v>1316000</v>
      </c>
      <c r="W205" s="149">
        <f t="shared" si="116"/>
        <v>0</v>
      </c>
    </row>
    <row r="206" spans="1:23" ht="25.5" x14ac:dyDescent="0.2">
      <c r="A206" s="160">
        <v>1333</v>
      </c>
      <c r="B206" s="9" t="s">
        <v>156</v>
      </c>
      <c r="C206" s="8" t="s">
        <v>233</v>
      </c>
      <c r="D206" s="86">
        <v>10802000</v>
      </c>
      <c r="E206" s="88">
        <v>0</v>
      </c>
      <c r="F206" s="88">
        <v>0</v>
      </c>
      <c r="G206" s="88">
        <v>0</v>
      </c>
      <c r="H206" s="88">
        <v>0</v>
      </c>
      <c r="I206" s="147">
        <f t="shared" si="119"/>
        <v>10802000</v>
      </c>
      <c r="J206" s="88">
        <v>0</v>
      </c>
      <c r="K206" s="147">
        <v>10802000</v>
      </c>
      <c r="L206" s="88">
        <v>0</v>
      </c>
      <c r="M206" s="88">
        <v>0</v>
      </c>
      <c r="N206" s="88">
        <v>0</v>
      </c>
      <c r="O206" s="88">
        <v>0</v>
      </c>
      <c r="P206" s="88">
        <v>0</v>
      </c>
      <c r="Q206" s="88">
        <v>0</v>
      </c>
      <c r="R206" s="88">
        <v>0</v>
      </c>
      <c r="S206" s="88">
        <v>0</v>
      </c>
      <c r="T206" s="88">
        <v>0</v>
      </c>
      <c r="U206" s="88">
        <v>0</v>
      </c>
      <c r="V206" s="147">
        <f>J206+K206+L206+M206+N206+O206+P206+Q206+R206+S206+T206+U206</f>
        <v>10802000</v>
      </c>
      <c r="W206" s="149">
        <f t="shared" si="116"/>
        <v>0</v>
      </c>
    </row>
    <row r="207" spans="1:23" x14ac:dyDescent="0.2">
      <c r="A207" s="160">
        <v>1345</v>
      </c>
      <c r="B207" s="9" t="s">
        <v>279</v>
      </c>
      <c r="C207" s="8" t="s">
        <v>107</v>
      </c>
      <c r="D207" s="86">
        <v>166136196.56</v>
      </c>
      <c r="E207" s="88">
        <v>0</v>
      </c>
      <c r="F207" s="88">
        <v>0</v>
      </c>
      <c r="G207" s="88">
        <v>0</v>
      </c>
      <c r="H207" s="88">
        <v>0</v>
      </c>
      <c r="I207" s="147">
        <f t="shared" si="119"/>
        <v>166136196.56</v>
      </c>
      <c r="J207" s="88">
        <v>0</v>
      </c>
      <c r="K207" s="147">
        <v>37380644.226000004</v>
      </c>
      <c r="L207" s="147">
        <v>37380644.226000004</v>
      </c>
      <c r="M207" s="147">
        <v>37380644.226000004</v>
      </c>
      <c r="N207" s="147">
        <v>37380644.226000004</v>
      </c>
      <c r="O207" s="88">
        <v>0</v>
      </c>
      <c r="P207" s="88">
        <v>0</v>
      </c>
      <c r="Q207" s="88">
        <v>0</v>
      </c>
      <c r="R207" s="88">
        <v>0</v>
      </c>
      <c r="S207" s="88">
        <v>0</v>
      </c>
      <c r="T207" s="88">
        <v>0</v>
      </c>
      <c r="U207" s="147">
        <v>16613619.655999988</v>
      </c>
      <c r="V207" s="148">
        <f t="shared" ref="V207:V212" si="120">J207+K207+L207+M207+N207+O207+P207+Q207+R207+S207+T207+U207</f>
        <v>166136196.56</v>
      </c>
      <c r="W207" s="149">
        <f t="shared" si="116"/>
        <v>0</v>
      </c>
    </row>
    <row r="208" spans="1:23" ht="25.5" x14ac:dyDescent="0.2">
      <c r="A208" s="160">
        <v>1348</v>
      </c>
      <c r="B208" s="9" t="s">
        <v>280</v>
      </c>
      <c r="C208" s="8" t="s">
        <v>102</v>
      </c>
      <c r="D208" s="86">
        <v>228482685.99000001</v>
      </c>
      <c r="E208" s="88">
        <v>0</v>
      </c>
      <c r="F208" s="88">
        <v>0</v>
      </c>
      <c r="G208" s="88">
        <v>0</v>
      </c>
      <c r="H208" s="88">
        <v>0</v>
      </c>
      <c r="I208" s="147">
        <f t="shared" si="119"/>
        <v>228482685.99000001</v>
      </c>
      <c r="J208" s="88">
        <v>0</v>
      </c>
      <c r="K208" s="147">
        <v>51408604.347750001</v>
      </c>
      <c r="L208" s="147">
        <v>51408604.347750001</v>
      </c>
      <c r="M208" s="147">
        <v>51408604.347750001</v>
      </c>
      <c r="N208" s="147">
        <v>51408604.347750001</v>
      </c>
      <c r="O208" s="88">
        <v>0</v>
      </c>
      <c r="P208" s="88">
        <v>0</v>
      </c>
      <c r="Q208" s="88">
        <v>0</v>
      </c>
      <c r="R208" s="88">
        <v>0</v>
      </c>
      <c r="S208" s="88">
        <v>0</v>
      </c>
      <c r="T208" s="88">
        <v>0</v>
      </c>
      <c r="U208" s="147">
        <v>22848268.599000007</v>
      </c>
      <c r="V208" s="148">
        <f t="shared" si="120"/>
        <v>228482685.99000001</v>
      </c>
      <c r="W208" s="149">
        <f t="shared" si="116"/>
        <v>0</v>
      </c>
    </row>
    <row r="209" spans="1:23" ht="25.5" x14ac:dyDescent="0.2">
      <c r="A209" s="160">
        <v>1358</v>
      </c>
      <c r="B209" s="9" t="s">
        <v>278</v>
      </c>
      <c r="C209" s="8" t="s">
        <v>233</v>
      </c>
      <c r="D209" s="86">
        <v>21200000</v>
      </c>
      <c r="E209" s="88">
        <v>0</v>
      </c>
      <c r="F209" s="88">
        <v>0</v>
      </c>
      <c r="G209" s="88">
        <v>0</v>
      </c>
      <c r="H209" s="88">
        <v>0</v>
      </c>
      <c r="I209" s="147">
        <f t="shared" si="119"/>
        <v>21200000</v>
      </c>
      <c r="J209" s="88">
        <v>0</v>
      </c>
      <c r="K209" s="147">
        <v>21200000</v>
      </c>
      <c r="L209" s="88">
        <v>0</v>
      </c>
      <c r="M209" s="88">
        <v>0</v>
      </c>
      <c r="N209" s="88">
        <v>0</v>
      </c>
      <c r="O209" s="88">
        <v>0</v>
      </c>
      <c r="P209" s="88">
        <v>0</v>
      </c>
      <c r="Q209" s="88">
        <v>0</v>
      </c>
      <c r="R209" s="88">
        <v>0</v>
      </c>
      <c r="S209" s="88">
        <v>0</v>
      </c>
      <c r="T209" s="88">
        <v>0</v>
      </c>
      <c r="U209" s="147"/>
      <c r="V209" s="148">
        <f t="shared" si="120"/>
        <v>21200000</v>
      </c>
      <c r="W209" s="149">
        <f t="shared" si="116"/>
        <v>0</v>
      </c>
    </row>
    <row r="210" spans="1:23" ht="25.5" x14ac:dyDescent="0.2">
      <c r="A210" s="160">
        <v>1376</v>
      </c>
      <c r="B210" s="9" t="s">
        <v>281</v>
      </c>
      <c r="C210" s="8" t="s">
        <v>107</v>
      </c>
      <c r="D210" s="86">
        <v>573619664.69000006</v>
      </c>
      <c r="E210" s="88">
        <v>0</v>
      </c>
      <c r="F210" s="88">
        <v>0</v>
      </c>
      <c r="G210" s="88">
        <v>0</v>
      </c>
      <c r="H210" s="88">
        <v>0</v>
      </c>
      <c r="I210" s="147">
        <f t="shared" si="119"/>
        <v>573619664.69000006</v>
      </c>
      <c r="J210" s="88">
        <v>0</v>
      </c>
      <c r="K210" s="147">
        <v>57361966.469000012</v>
      </c>
      <c r="L210" s="147">
        <v>57361966.469000012</v>
      </c>
      <c r="M210" s="147">
        <v>57361966.469000012</v>
      </c>
      <c r="N210" s="147">
        <v>57361966.469000012</v>
      </c>
      <c r="O210" s="147">
        <v>57361966.469000012</v>
      </c>
      <c r="P210" s="147">
        <v>57361966.469000012</v>
      </c>
      <c r="Q210" s="147">
        <v>57361966.469000012</v>
      </c>
      <c r="R210" s="147">
        <v>57361966.469000012</v>
      </c>
      <c r="S210" s="147">
        <v>57361966.469000012</v>
      </c>
      <c r="T210" s="88">
        <v>0</v>
      </c>
      <c r="U210" s="147">
        <v>57361966.468999982</v>
      </c>
      <c r="V210" s="148">
        <f t="shared" si="120"/>
        <v>573619664.68999994</v>
      </c>
      <c r="W210" s="149"/>
    </row>
    <row r="211" spans="1:23" ht="25.5" x14ac:dyDescent="0.2">
      <c r="A211" s="160">
        <v>1377</v>
      </c>
      <c r="B211" s="9" t="s">
        <v>281</v>
      </c>
      <c r="C211" s="8" t="s">
        <v>107</v>
      </c>
      <c r="D211" s="86">
        <v>40191740.939999998</v>
      </c>
      <c r="E211" s="88">
        <v>0</v>
      </c>
      <c r="F211" s="88">
        <v>0</v>
      </c>
      <c r="G211" s="88">
        <v>0</v>
      </c>
      <c r="H211" s="88">
        <v>0</v>
      </c>
      <c r="I211" s="147">
        <f t="shared" ref="I211:I245" si="121">D211+E211-F211+G211-H211</f>
        <v>40191740.939999998</v>
      </c>
      <c r="J211" s="88">
        <v>0</v>
      </c>
      <c r="K211" s="147">
        <v>4019174.094</v>
      </c>
      <c r="L211" s="147">
        <v>4019174.094</v>
      </c>
      <c r="M211" s="147">
        <v>4019174.094</v>
      </c>
      <c r="N211" s="147">
        <v>4019174.094</v>
      </c>
      <c r="O211" s="147">
        <v>4019174.094</v>
      </c>
      <c r="P211" s="147">
        <v>4019174.094</v>
      </c>
      <c r="Q211" s="147">
        <v>4019174.094</v>
      </c>
      <c r="R211" s="147">
        <v>4019174.094</v>
      </c>
      <c r="S211" s="147">
        <v>4019174.094</v>
      </c>
      <c r="T211" s="88">
        <v>0</v>
      </c>
      <c r="U211" s="147">
        <v>4019174.0939999968</v>
      </c>
      <c r="V211" s="148">
        <f t="shared" si="120"/>
        <v>40191740.939999998</v>
      </c>
      <c r="W211" s="149">
        <f t="shared" ref="W211:W245" si="122">I211-V211</f>
        <v>0</v>
      </c>
    </row>
    <row r="212" spans="1:23" ht="25.5" x14ac:dyDescent="0.2">
      <c r="A212" s="160">
        <v>1378</v>
      </c>
      <c r="B212" s="9" t="s">
        <v>282</v>
      </c>
      <c r="C212" s="8" t="s">
        <v>102</v>
      </c>
      <c r="D212" s="86">
        <v>187471482.06</v>
      </c>
      <c r="E212" s="88">
        <v>0</v>
      </c>
      <c r="F212" s="88">
        <v>0</v>
      </c>
      <c r="G212" s="88">
        <v>0</v>
      </c>
      <c r="H212" s="88">
        <v>0</v>
      </c>
      <c r="I212" s="147">
        <f t="shared" si="121"/>
        <v>187471482.06</v>
      </c>
      <c r="J212" s="88">
        <v>0</v>
      </c>
      <c r="K212" s="147">
        <v>18747148.206</v>
      </c>
      <c r="L212" s="147">
        <v>18747148.206</v>
      </c>
      <c r="M212" s="147">
        <v>18747148.206</v>
      </c>
      <c r="N212" s="147">
        <v>18747148.206</v>
      </c>
      <c r="O212" s="147">
        <v>18747148.206</v>
      </c>
      <c r="P212" s="147">
        <v>18747148.206</v>
      </c>
      <c r="Q212" s="147">
        <v>18747148.206</v>
      </c>
      <c r="R212" s="147">
        <v>18747148.206</v>
      </c>
      <c r="S212" s="147">
        <v>18747148.206</v>
      </c>
      <c r="T212" s="88">
        <v>0</v>
      </c>
      <c r="U212" s="147">
        <v>18747148.206</v>
      </c>
      <c r="V212" s="148">
        <f t="shared" si="120"/>
        <v>187471482.06</v>
      </c>
      <c r="W212" s="149">
        <f t="shared" si="122"/>
        <v>0</v>
      </c>
    </row>
    <row r="213" spans="1:23" ht="25.5" x14ac:dyDescent="0.2">
      <c r="A213" s="160">
        <v>1379</v>
      </c>
      <c r="B213" s="9" t="s">
        <v>282</v>
      </c>
      <c r="C213" s="8" t="s">
        <v>102</v>
      </c>
      <c r="D213" s="86">
        <v>55605000</v>
      </c>
      <c r="E213" s="88">
        <v>0</v>
      </c>
      <c r="F213" s="88">
        <v>0</v>
      </c>
      <c r="G213" s="88">
        <v>0</v>
      </c>
      <c r="H213" s="88">
        <v>0</v>
      </c>
      <c r="I213" s="147">
        <f t="shared" si="121"/>
        <v>55605000</v>
      </c>
      <c r="J213" s="88">
        <v>0</v>
      </c>
      <c r="K213" s="147">
        <v>5560500</v>
      </c>
      <c r="L213" s="147">
        <v>5560500</v>
      </c>
      <c r="M213" s="147">
        <v>5560500</v>
      </c>
      <c r="N213" s="147">
        <v>5560500</v>
      </c>
      <c r="O213" s="147">
        <v>5560500</v>
      </c>
      <c r="P213" s="147">
        <v>5560500</v>
      </c>
      <c r="Q213" s="147">
        <v>5560500</v>
      </c>
      <c r="R213" s="147">
        <v>5560500</v>
      </c>
      <c r="S213" s="147">
        <v>5560500</v>
      </c>
      <c r="T213" s="88">
        <v>0</v>
      </c>
      <c r="U213" s="147">
        <v>5560500</v>
      </c>
      <c r="V213" s="148">
        <f>J213+K213+L213+M213+N213+O213+P213+Q213+R213+S213+T213+U213</f>
        <v>55605000</v>
      </c>
      <c r="W213" s="149">
        <f t="shared" si="122"/>
        <v>0</v>
      </c>
    </row>
    <row r="214" spans="1:23" ht="25.5" x14ac:dyDescent="0.2">
      <c r="A214" s="160">
        <v>1380</v>
      </c>
      <c r="B214" s="9" t="s">
        <v>282</v>
      </c>
      <c r="C214" s="8" t="s">
        <v>102</v>
      </c>
      <c r="D214" s="86">
        <v>25207523.140000001</v>
      </c>
      <c r="E214" s="88">
        <v>0</v>
      </c>
      <c r="F214" s="88">
        <v>0</v>
      </c>
      <c r="G214" s="88">
        <v>0</v>
      </c>
      <c r="H214" s="88">
        <v>0</v>
      </c>
      <c r="I214" s="147">
        <f t="shared" si="121"/>
        <v>25207523.140000001</v>
      </c>
      <c r="J214" s="88">
        <v>0</v>
      </c>
      <c r="K214" s="147">
        <v>2520752.3140000002</v>
      </c>
      <c r="L214" s="147">
        <v>2520752.3140000002</v>
      </c>
      <c r="M214" s="147">
        <v>2520752.3140000002</v>
      </c>
      <c r="N214" s="147">
        <v>2520752.3140000002</v>
      </c>
      <c r="O214" s="147">
        <v>2520752.3140000002</v>
      </c>
      <c r="P214" s="147">
        <v>2520752.3140000002</v>
      </c>
      <c r="Q214" s="147">
        <v>2520752.3140000002</v>
      </c>
      <c r="R214" s="147">
        <v>2520752.3140000002</v>
      </c>
      <c r="S214" s="147">
        <v>2520752.3140000002</v>
      </c>
      <c r="T214" s="88">
        <v>0</v>
      </c>
      <c r="U214" s="147">
        <v>2520752.3139999993</v>
      </c>
      <c r="V214" s="148">
        <f t="shared" ref="V214:V245" si="123">J214+K214+L214+M214+N214+O214+P214+Q214+R214+S214+T214+U214</f>
        <v>25207523.139999997</v>
      </c>
      <c r="W214" s="149">
        <f t="shared" si="122"/>
        <v>0</v>
      </c>
    </row>
    <row r="215" spans="1:23" ht="25.5" x14ac:dyDescent="0.2">
      <c r="A215" s="160">
        <v>1382</v>
      </c>
      <c r="B215" s="9" t="s">
        <v>283</v>
      </c>
      <c r="C215" s="8" t="s">
        <v>107</v>
      </c>
      <c r="D215" s="86">
        <v>118892816.5</v>
      </c>
      <c r="E215" s="88">
        <v>0</v>
      </c>
      <c r="F215" s="88">
        <v>0</v>
      </c>
      <c r="G215" s="88">
        <v>0</v>
      </c>
      <c r="H215" s="88">
        <v>0</v>
      </c>
      <c r="I215" s="147">
        <f t="shared" si="121"/>
        <v>118892816.5</v>
      </c>
      <c r="J215" s="147">
        <v>0</v>
      </c>
      <c r="K215" s="147">
        <v>0</v>
      </c>
      <c r="L215" s="147">
        <v>0</v>
      </c>
      <c r="M215" s="147">
        <v>0</v>
      </c>
      <c r="N215" s="147">
        <v>107003534.84999999</v>
      </c>
      <c r="O215" s="147">
        <v>0</v>
      </c>
      <c r="P215" s="147">
        <v>0</v>
      </c>
      <c r="Q215" s="147">
        <v>0</v>
      </c>
      <c r="R215" s="147">
        <v>0</v>
      </c>
      <c r="S215" s="147">
        <v>0</v>
      </c>
      <c r="T215" s="147">
        <v>0</v>
      </c>
      <c r="U215" s="147">
        <v>11889281.65</v>
      </c>
      <c r="V215" s="148">
        <f t="shared" si="123"/>
        <v>118892816.5</v>
      </c>
      <c r="W215" s="149">
        <f t="shared" si="122"/>
        <v>0</v>
      </c>
    </row>
    <row r="216" spans="1:23" x14ac:dyDescent="0.2">
      <c r="A216" s="160">
        <v>1386</v>
      </c>
      <c r="B216" s="9" t="s">
        <v>284</v>
      </c>
      <c r="C216" s="8" t="s">
        <v>107</v>
      </c>
      <c r="D216" s="86">
        <v>617431276.20000005</v>
      </c>
      <c r="E216" s="88">
        <v>0</v>
      </c>
      <c r="F216" s="88">
        <v>0</v>
      </c>
      <c r="G216" s="88">
        <v>0</v>
      </c>
      <c r="H216" s="88">
        <v>0</v>
      </c>
      <c r="I216" s="147">
        <f t="shared" si="121"/>
        <v>617431276.20000005</v>
      </c>
      <c r="J216" s="147">
        <v>0</v>
      </c>
      <c r="K216" s="147">
        <v>0</v>
      </c>
      <c r="L216" s="147">
        <v>0</v>
      </c>
      <c r="M216" s="147">
        <v>0</v>
      </c>
      <c r="N216" s="147">
        <v>555688148.58000004</v>
      </c>
      <c r="O216" s="147">
        <v>0</v>
      </c>
      <c r="P216" s="147">
        <v>0</v>
      </c>
      <c r="Q216" s="147">
        <v>0</v>
      </c>
      <c r="R216" s="147">
        <v>0</v>
      </c>
      <c r="S216" s="147">
        <v>0</v>
      </c>
      <c r="T216" s="147">
        <v>0</v>
      </c>
      <c r="U216" s="147">
        <v>61743127.620000005</v>
      </c>
      <c r="V216" s="148">
        <f t="shared" si="123"/>
        <v>617431276.20000005</v>
      </c>
      <c r="W216" s="149">
        <f t="shared" si="122"/>
        <v>0</v>
      </c>
    </row>
    <row r="217" spans="1:23" x14ac:dyDescent="0.2">
      <c r="A217" s="160">
        <v>1389</v>
      </c>
      <c r="B217" s="9" t="s">
        <v>285</v>
      </c>
      <c r="C217" s="8" t="s">
        <v>107</v>
      </c>
      <c r="D217" s="86">
        <v>687385164.5</v>
      </c>
      <c r="E217" s="88">
        <v>0</v>
      </c>
      <c r="F217" s="88">
        <v>0</v>
      </c>
      <c r="G217" s="88">
        <v>0</v>
      </c>
      <c r="H217" s="88">
        <v>0</v>
      </c>
      <c r="I217" s="147">
        <f t="shared" si="121"/>
        <v>687385164.5</v>
      </c>
      <c r="J217" s="147">
        <v>0</v>
      </c>
      <c r="K217" s="147">
        <v>0</v>
      </c>
      <c r="L217" s="147">
        <v>0</v>
      </c>
      <c r="M217" s="147">
        <v>0</v>
      </c>
      <c r="N217" s="147">
        <v>618646648.04999995</v>
      </c>
      <c r="O217" s="147">
        <v>0</v>
      </c>
      <c r="P217" s="147">
        <v>0</v>
      </c>
      <c r="Q217" s="147">
        <v>0</v>
      </c>
      <c r="R217" s="147">
        <v>0</v>
      </c>
      <c r="S217" s="147">
        <v>0</v>
      </c>
      <c r="T217" s="147">
        <v>0</v>
      </c>
      <c r="U217" s="147">
        <v>68738516.450000003</v>
      </c>
      <c r="V217" s="148">
        <f t="shared" si="123"/>
        <v>687385164.5</v>
      </c>
      <c r="W217" s="149">
        <f t="shared" si="122"/>
        <v>0</v>
      </c>
    </row>
    <row r="218" spans="1:23" ht="25.5" x14ac:dyDescent="0.2">
      <c r="A218" s="160">
        <v>1390</v>
      </c>
      <c r="B218" s="9" t="s">
        <v>286</v>
      </c>
      <c r="C218" s="8" t="s">
        <v>102</v>
      </c>
      <c r="D218" s="86">
        <v>58197097.799999997</v>
      </c>
      <c r="E218" s="88">
        <v>0</v>
      </c>
      <c r="F218" s="88">
        <v>0</v>
      </c>
      <c r="G218" s="88">
        <v>0</v>
      </c>
      <c r="H218" s="88">
        <v>0</v>
      </c>
      <c r="I218" s="147">
        <f t="shared" si="121"/>
        <v>58197097.799999997</v>
      </c>
      <c r="J218" s="147">
        <v>0</v>
      </c>
      <c r="K218" s="147">
        <v>0</v>
      </c>
      <c r="L218" s="147">
        <v>0</v>
      </c>
      <c r="M218" s="147">
        <v>0</v>
      </c>
      <c r="N218" s="147">
        <v>52377388.019999996</v>
      </c>
      <c r="O218" s="147">
        <v>0</v>
      </c>
      <c r="P218" s="147">
        <v>0</v>
      </c>
      <c r="Q218" s="147">
        <v>0</v>
      </c>
      <c r="R218" s="147">
        <v>0</v>
      </c>
      <c r="S218" s="147">
        <v>0</v>
      </c>
      <c r="T218" s="147">
        <v>0</v>
      </c>
      <c r="U218" s="147">
        <v>5819709.7800000003</v>
      </c>
      <c r="V218" s="148">
        <f t="shared" si="123"/>
        <v>58197097.799999997</v>
      </c>
      <c r="W218" s="149">
        <f t="shared" si="122"/>
        <v>0</v>
      </c>
    </row>
    <row r="219" spans="1:23" ht="25.5" x14ac:dyDescent="0.2">
      <c r="A219" s="160">
        <v>1391</v>
      </c>
      <c r="B219" s="9" t="s">
        <v>286</v>
      </c>
      <c r="C219" s="8" t="s">
        <v>102</v>
      </c>
      <c r="D219" s="86">
        <v>16920000</v>
      </c>
      <c r="E219" s="88">
        <v>0</v>
      </c>
      <c r="F219" s="88">
        <v>0</v>
      </c>
      <c r="G219" s="88">
        <v>0</v>
      </c>
      <c r="H219" s="147">
        <v>0</v>
      </c>
      <c r="I219" s="147">
        <f t="shared" si="121"/>
        <v>16920000</v>
      </c>
      <c r="J219" s="147">
        <v>0</v>
      </c>
      <c r="K219" s="147">
        <v>0</v>
      </c>
      <c r="L219" s="147">
        <v>0</v>
      </c>
      <c r="M219" s="147">
        <v>0</v>
      </c>
      <c r="N219" s="147">
        <v>15228000</v>
      </c>
      <c r="O219" s="147">
        <v>0</v>
      </c>
      <c r="P219" s="147">
        <v>0</v>
      </c>
      <c r="Q219" s="147">
        <v>0</v>
      </c>
      <c r="R219" s="147">
        <v>0</v>
      </c>
      <c r="S219" s="147">
        <v>0</v>
      </c>
      <c r="T219" s="147">
        <v>0</v>
      </c>
      <c r="U219" s="147">
        <v>1692000</v>
      </c>
      <c r="V219" s="148">
        <f t="shared" si="123"/>
        <v>16920000</v>
      </c>
      <c r="W219" s="149">
        <f t="shared" si="122"/>
        <v>0</v>
      </c>
    </row>
    <row r="220" spans="1:23" x14ac:dyDescent="0.2">
      <c r="A220" s="160">
        <v>1395</v>
      </c>
      <c r="B220" s="9" t="s">
        <v>226</v>
      </c>
      <c r="C220" s="8" t="s">
        <v>107</v>
      </c>
      <c r="D220" s="86">
        <v>177439219.5</v>
      </c>
      <c r="E220" s="88">
        <v>0</v>
      </c>
      <c r="F220" s="88">
        <v>0</v>
      </c>
      <c r="G220" s="88">
        <v>0</v>
      </c>
      <c r="H220" s="88">
        <v>0</v>
      </c>
      <c r="I220" s="147">
        <f t="shared" si="121"/>
        <v>177439219.5</v>
      </c>
      <c r="J220" s="147">
        <v>0</v>
      </c>
      <c r="K220" s="147"/>
      <c r="L220" s="147">
        <v>0</v>
      </c>
      <c r="M220" s="147">
        <v>0</v>
      </c>
      <c r="N220" s="147">
        <v>159695297.55000001</v>
      </c>
      <c r="O220" s="147">
        <v>0</v>
      </c>
      <c r="P220" s="147">
        <v>0</v>
      </c>
      <c r="Q220" s="147">
        <v>0</v>
      </c>
      <c r="R220" s="147">
        <v>0</v>
      </c>
      <c r="S220" s="147">
        <v>0</v>
      </c>
      <c r="T220" s="147">
        <v>0</v>
      </c>
      <c r="U220" s="147">
        <v>17743921.949999999</v>
      </c>
      <c r="V220" s="148">
        <f t="shared" si="123"/>
        <v>177439219.5</v>
      </c>
      <c r="W220" s="149">
        <f t="shared" si="122"/>
        <v>0</v>
      </c>
    </row>
    <row r="221" spans="1:23" ht="25.5" x14ac:dyDescent="0.2">
      <c r="A221" s="160">
        <v>1998</v>
      </c>
      <c r="B221" s="9" t="s">
        <v>278</v>
      </c>
      <c r="C221" s="8" t="s">
        <v>233</v>
      </c>
      <c r="D221" s="86">
        <v>13391333</v>
      </c>
      <c r="E221" s="88">
        <v>0</v>
      </c>
      <c r="F221" s="88">
        <v>0</v>
      </c>
      <c r="G221" s="88">
        <v>0</v>
      </c>
      <c r="H221" s="88">
        <v>0</v>
      </c>
      <c r="I221" s="147">
        <f t="shared" si="121"/>
        <v>13391333</v>
      </c>
      <c r="J221" s="147">
        <v>0</v>
      </c>
      <c r="K221" s="147">
        <v>13391333</v>
      </c>
      <c r="L221" s="147">
        <v>0</v>
      </c>
      <c r="M221" s="147">
        <v>0</v>
      </c>
      <c r="N221" s="147">
        <v>0</v>
      </c>
      <c r="O221" s="147">
        <v>0</v>
      </c>
      <c r="P221" s="147">
        <v>0</v>
      </c>
      <c r="Q221" s="147">
        <v>0</v>
      </c>
      <c r="R221" s="147">
        <v>0</v>
      </c>
      <c r="S221" s="147">
        <v>0</v>
      </c>
      <c r="T221" s="147">
        <v>0</v>
      </c>
      <c r="U221" s="147">
        <v>0</v>
      </c>
      <c r="V221" s="148">
        <f t="shared" si="123"/>
        <v>13391333</v>
      </c>
      <c r="W221" s="149">
        <f t="shared" si="122"/>
        <v>0</v>
      </c>
    </row>
    <row r="222" spans="1:23" ht="25.5" x14ac:dyDescent="0.2">
      <c r="A222" s="160">
        <v>1427</v>
      </c>
      <c r="B222" s="9" t="s">
        <v>287</v>
      </c>
      <c r="C222" s="8" t="s">
        <v>249</v>
      </c>
      <c r="D222" s="86">
        <v>400061630</v>
      </c>
      <c r="E222" s="88">
        <v>0</v>
      </c>
      <c r="F222" s="88">
        <v>0</v>
      </c>
      <c r="G222" s="88">
        <v>0</v>
      </c>
      <c r="H222" s="88">
        <v>0</v>
      </c>
      <c r="I222" s="147">
        <f t="shared" si="121"/>
        <v>400061630</v>
      </c>
      <c r="J222" s="147">
        <v>0</v>
      </c>
      <c r="K222" s="147">
        <v>400061630</v>
      </c>
      <c r="L222" s="147">
        <v>0</v>
      </c>
      <c r="M222" s="147">
        <v>0</v>
      </c>
      <c r="N222" s="147">
        <v>0</v>
      </c>
      <c r="O222" s="147">
        <v>0</v>
      </c>
      <c r="P222" s="147">
        <v>0</v>
      </c>
      <c r="Q222" s="147">
        <v>0</v>
      </c>
      <c r="R222" s="147">
        <v>0</v>
      </c>
      <c r="S222" s="147">
        <v>0</v>
      </c>
      <c r="T222" s="147">
        <v>0</v>
      </c>
      <c r="U222" s="147">
        <v>0</v>
      </c>
      <c r="V222" s="148">
        <f t="shared" si="123"/>
        <v>400061630</v>
      </c>
      <c r="W222" s="149">
        <f t="shared" si="122"/>
        <v>0</v>
      </c>
    </row>
    <row r="223" spans="1:23" x14ac:dyDescent="0.2">
      <c r="A223" s="160">
        <v>1490</v>
      </c>
      <c r="B223" s="9" t="s">
        <v>288</v>
      </c>
      <c r="C223" s="8" t="s">
        <v>249</v>
      </c>
      <c r="D223" s="86">
        <v>446387781.07999998</v>
      </c>
      <c r="E223" s="88">
        <v>0</v>
      </c>
      <c r="F223" s="88">
        <v>0</v>
      </c>
      <c r="G223" s="88">
        <v>0</v>
      </c>
      <c r="H223" s="88">
        <v>0</v>
      </c>
      <c r="I223" s="147">
        <f t="shared" si="121"/>
        <v>446387781.07999998</v>
      </c>
      <c r="J223" s="147"/>
      <c r="K223" s="147">
        <v>0</v>
      </c>
      <c r="L223" s="147">
        <v>446387781.07999998</v>
      </c>
      <c r="M223" s="147">
        <v>0</v>
      </c>
      <c r="N223" s="147">
        <v>0</v>
      </c>
      <c r="O223" s="147">
        <v>0</v>
      </c>
      <c r="P223" s="147"/>
      <c r="Q223" s="147">
        <v>0</v>
      </c>
      <c r="R223" s="147">
        <v>0</v>
      </c>
      <c r="S223" s="147">
        <v>0</v>
      </c>
      <c r="T223" s="147">
        <v>0</v>
      </c>
      <c r="U223" s="147">
        <v>0</v>
      </c>
      <c r="V223" s="148">
        <f t="shared" si="123"/>
        <v>446387781.07999998</v>
      </c>
      <c r="W223" s="149">
        <f t="shared" si="122"/>
        <v>0</v>
      </c>
    </row>
    <row r="224" spans="1:23" ht="25.5" x14ac:dyDescent="0.2">
      <c r="A224" s="160">
        <v>1491</v>
      </c>
      <c r="B224" s="9" t="s">
        <v>289</v>
      </c>
      <c r="C224" s="8" t="s">
        <v>249</v>
      </c>
      <c r="D224" s="86">
        <v>307542504.55000001</v>
      </c>
      <c r="E224" s="88">
        <v>0</v>
      </c>
      <c r="F224" s="88">
        <v>0</v>
      </c>
      <c r="G224" s="88">
        <v>0</v>
      </c>
      <c r="H224" s="88">
        <v>0</v>
      </c>
      <c r="I224" s="147">
        <f t="shared" si="121"/>
        <v>307542504.55000001</v>
      </c>
      <c r="J224" s="147">
        <v>0</v>
      </c>
      <c r="K224" s="147">
        <v>0</v>
      </c>
      <c r="L224" s="147">
        <v>307542504.55000001</v>
      </c>
      <c r="M224" s="147">
        <v>0</v>
      </c>
      <c r="N224" s="147">
        <v>0</v>
      </c>
      <c r="O224" s="147">
        <v>0</v>
      </c>
      <c r="P224" s="147">
        <v>0</v>
      </c>
      <c r="Q224" s="147">
        <v>0</v>
      </c>
      <c r="R224" s="147">
        <v>0</v>
      </c>
      <c r="S224" s="147">
        <v>0</v>
      </c>
      <c r="T224" s="147">
        <v>0</v>
      </c>
      <c r="U224" s="147">
        <v>0</v>
      </c>
      <c r="V224" s="148">
        <f t="shared" si="123"/>
        <v>307542504.55000001</v>
      </c>
      <c r="W224" s="149">
        <f t="shared" si="122"/>
        <v>0</v>
      </c>
    </row>
    <row r="225" spans="1:23" x14ac:dyDescent="0.2">
      <c r="A225" s="160">
        <v>1492</v>
      </c>
      <c r="B225" s="9" t="s">
        <v>290</v>
      </c>
      <c r="C225" s="8" t="s">
        <v>249</v>
      </c>
      <c r="D225" s="86">
        <v>42577668.369999997</v>
      </c>
      <c r="E225" s="88">
        <v>0</v>
      </c>
      <c r="F225" s="88">
        <v>0</v>
      </c>
      <c r="G225" s="88">
        <v>0</v>
      </c>
      <c r="H225" s="88">
        <v>0</v>
      </c>
      <c r="I225" s="147">
        <f t="shared" si="121"/>
        <v>42577668.369999997</v>
      </c>
      <c r="J225" s="147">
        <v>0</v>
      </c>
      <c r="K225" s="147">
        <v>0</v>
      </c>
      <c r="L225" s="147">
        <v>42577668.369999997</v>
      </c>
      <c r="M225" s="147">
        <v>0</v>
      </c>
      <c r="N225" s="147">
        <v>0</v>
      </c>
      <c r="O225" s="147">
        <v>0</v>
      </c>
      <c r="P225" s="147">
        <v>0</v>
      </c>
      <c r="Q225" s="147">
        <v>0</v>
      </c>
      <c r="R225" s="147">
        <v>0</v>
      </c>
      <c r="S225" s="147">
        <v>0</v>
      </c>
      <c r="T225" s="147">
        <v>0</v>
      </c>
      <c r="U225" s="147">
        <v>0</v>
      </c>
      <c r="V225" s="148">
        <f t="shared" si="123"/>
        <v>42577668.369999997</v>
      </c>
      <c r="W225" s="149">
        <f t="shared" si="122"/>
        <v>0</v>
      </c>
    </row>
    <row r="226" spans="1:23" ht="25.5" x14ac:dyDescent="0.2">
      <c r="A226" s="160">
        <v>1493</v>
      </c>
      <c r="B226" s="9" t="s">
        <v>291</v>
      </c>
      <c r="C226" s="8" t="s">
        <v>249</v>
      </c>
      <c r="D226" s="86">
        <v>11682124</v>
      </c>
      <c r="E226" s="88">
        <v>0</v>
      </c>
      <c r="F226" s="88">
        <v>0</v>
      </c>
      <c r="G226" s="88">
        <v>0</v>
      </c>
      <c r="H226" s="88">
        <v>0</v>
      </c>
      <c r="I226" s="147">
        <f t="shared" si="121"/>
        <v>11682124</v>
      </c>
      <c r="J226" s="147">
        <v>0</v>
      </c>
      <c r="K226" s="147">
        <v>0</v>
      </c>
      <c r="L226" s="147">
        <v>11682124</v>
      </c>
      <c r="M226" s="147">
        <v>0</v>
      </c>
      <c r="N226" s="147">
        <v>0</v>
      </c>
      <c r="O226" s="147">
        <v>0</v>
      </c>
      <c r="P226" s="147">
        <v>0</v>
      </c>
      <c r="Q226" s="147">
        <v>0</v>
      </c>
      <c r="R226" s="147">
        <v>0</v>
      </c>
      <c r="S226" s="147">
        <v>0</v>
      </c>
      <c r="T226" s="147">
        <v>0</v>
      </c>
      <c r="U226" s="147">
        <v>0</v>
      </c>
      <c r="V226" s="148">
        <f t="shared" si="123"/>
        <v>11682124</v>
      </c>
      <c r="W226" s="149">
        <f t="shared" si="122"/>
        <v>0</v>
      </c>
    </row>
    <row r="227" spans="1:23" ht="25.5" x14ac:dyDescent="0.2">
      <c r="A227" s="160">
        <v>1494</v>
      </c>
      <c r="B227" s="9" t="s">
        <v>221</v>
      </c>
      <c r="C227" s="8" t="s">
        <v>233</v>
      </c>
      <c r="D227" s="86">
        <v>41576193</v>
      </c>
      <c r="E227" s="88">
        <v>0</v>
      </c>
      <c r="F227" s="88">
        <v>0</v>
      </c>
      <c r="G227" s="88">
        <v>0</v>
      </c>
      <c r="H227" s="88">
        <v>0</v>
      </c>
      <c r="I227" s="147">
        <f t="shared" si="121"/>
        <v>41576193</v>
      </c>
      <c r="J227" s="147">
        <v>0</v>
      </c>
      <c r="K227" s="147">
        <v>0</v>
      </c>
      <c r="L227" s="147">
        <v>41576193</v>
      </c>
      <c r="M227" s="147">
        <v>0</v>
      </c>
      <c r="N227" s="147">
        <v>0</v>
      </c>
      <c r="O227" s="147">
        <v>0</v>
      </c>
      <c r="P227" s="147">
        <v>0</v>
      </c>
      <c r="Q227" s="147">
        <v>0</v>
      </c>
      <c r="R227" s="147">
        <v>0</v>
      </c>
      <c r="S227" s="147">
        <v>0</v>
      </c>
      <c r="T227" s="147">
        <v>0</v>
      </c>
      <c r="U227" s="147">
        <v>0</v>
      </c>
      <c r="V227" s="148">
        <f t="shared" si="123"/>
        <v>41576193</v>
      </c>
      <c r="W227" s="149">
        <f t="shared" si="122"/>
        <v>0</v>
      </c>
    </row>
    <row r="228" spans="1:23" ht="25.5" x14ac:dyDescent="0.2">
      <c r="A228" s="160">
        <v>1495</v>
      </c>
      <c r="B228" s="9" t="s">
        <v>156</v>
      </c>
      <c r="C228" s="8" t="s">
        <v>233</v>
      </c>
      <c r="D228" s="86">
        <v>4849661</v>
      </c>
      <c r="E228" s="88">
        <v>0</v>
      </c>
      <c r="F228" s="88">
        <v>0</v>
      </c>
      <c r="G228" s="88">
        <v>0</v>
      </c>
      <c r="H228" s="88">
        <v>0</v>
      </c>
      <c r="I228" s="147">
        <f t="shared" si="121"/>
        <v>4849661</v>
      </c>
      <c r="J228" s="147">
        <v>0</v>
      </c>
      <c r="K228" s="147">
        <v>4849661</v>
      </c>
      <c r="L228" s="147">
        <v>0</v>
      </c>
      <c r="M228" s="147">
        <v>0</v>
      </c>
      <c r="N228" s="147">
        <v>0</v>
      </c>
      <c r="O228" s="147">
        <v>0</v>
      </c>
      <c r="P228" s="147">
        <v>0</v>
      </c>
      <c r="Q228" s="147">
        <v>0</v>
      </c>
      <c r="R228" s="147">
        <v>0</v>
      </c>
      <c r="S228" s="147">
        <v>0</v>
      </c>
      <c r="T228" s="147">
        <v>0</v>
      </c>
      <c r="U228" s="147">
        <v>0</v>
      </c>
      <c r="V228" s="148">
        <f t="shared" si="123"/>
        <v>4849661</v>
      </c>
      <c r="W228" s="149">
        <f t="shared" si="122"/>
        <v>0</v>
      </c>
    </row>
    <row r="229" spans="1:23" x14ac:dyDescent="0.2">
      <c r="A229" s="160">
        <v>1519</v>
      </c>
      <c r="B229" s="9" t="s">
        <v>147</v>
      </c>
      <c r="C229" s="8" t="s">
        <v>249</v>
      </c>
      <c r="D229" s="86">
        <v>2358475.7000000002</v>
      </c>
      <c r="E229" s="88">
        <v>0</v>
      </c>
      <c r="F229" s="88">
        <v>0</v>
      </c>
      <c r="G229" s="88">
        <v>0</v>
      </c>
      <c r="H229" s="88">
        <v>0</v>
      </c>
      <c r="I229" s="147">
        <f t="shared" si="121"/>
        <v>2358475.7000000002</v>
      </c>
      <c r="J229" s="147">
        <v>0</v>
      </c>
      <c r="K229" s="147">
        <v>0</v>
      </c>
      <c r="L229" s="147">
        <f>+I229</f>
        <v>2358475.7000000002</v>
      </c>
      <c r="M229" s="147">
        <v>0</v>
      </c>
      <c r="N229" s="147"/>
      <c r="O229" s="147">
        <v>0</v>
      </c>
      <c r="P229" s="147">
        <v>0</v>
      </c>
      <c r="Q229" s="147">
        <v>0</v>
      </c>
      <c r="R229" s="147">
        <v>0</v>
      </c>
      <c r="S229" s="147">
        <v>0</v>
      </c>
      <c r="T229" s="147">
        <v>0</v>
      </c>
      <c r="U229" s="147">
        <v>0</v>
      </c>
      <c r="V229" s="147">
        <f t="shared" si="123"/>
        <v>2358475.7000000002</v>
      </c>
      <c r="W229" s="149">
        <f t="shared" si="122"/>
        <v>0</v>
      </c>
    </row>
    <row r="230" spans="1:23" x14ac:dyDescent="0.2">
      <c r="A230" s="160">
        <v>1520</v>
      </c>
      <c r="B230" s="9" t="s">
        <v>147</v>
      </c>
      <c r="C230" s="8" t="s">
        <v>249</v>
      </c>
      <c r="D230" s="86">
        <v>2758493</v>
      </c>
      <c r="E230" s="88">
        <v>0</v>
      </c>
      <c r="F230" s="88">
        <v>0</v>
      </c>
      <c r="G230" s="88">
        <v>0</v>
      </c>
      <c r="H230" s="88">
        <v>0</v>
      </c>
      <c r="I230" s="147">
        <f t="shared" si="121"/>
        <v>2758493</v>
      </c>
      <c r="J230" s="147">
        <v>0</v>
      </c>
      <c r="K230" s="147">
        <v>0</v>
      </c>
      <c r="L230" s="147">
        <f>+I230</f>
        <v>2758493</v>
      </c>
      <c r="M230" s="147">
        <v>0</v>
      </c>
      <c r="N230" s="147">
        <v>0</v>
      </c>
      <c r="O230" s="147">
        <v>0</v>
      </c>
      <c r="P230" s="147">
        <v>0</v>
      </c>
      <c r="Q230" s="147">
        <v>0</v>
      </c>
      <c r="R230" s="147">
        <v>0</v>
      </c>
      <c r="S230" s="147">
        <v>0</v>
      </c>
      <c r="T230" s="147">
        <v>0</v>
      </c>
      <c r="U230" s="147">
        <v>0</v>
      </c>
      <c r="V230" s="147">
        <f t="shared" si="123"/>
        <v>2758493</v>
      </c>
      <c r="W230" s="149">
        <f t="shared" si="122"/>
        <v>0</v>
      </c>
    </row>
    <row r="231" spans="1:23" x14ac:dyDescent="0.2">
      <c r="A231" s="160">
        <v>1522</v>
      </c>
      <c r="B231" s="9" t="s">
        <v>147</v>
      </c>
      <c r="C231" s="8" t="s">
        <v>249</v>
      </c>
      <c r="D231" s="86">
        <v>3526900</v>
      </c>
      <c r="E231" s="88">
        <v>0</v>
      </c>
      <c r="F231" s="88">
        <v>0</v>
      </c>
      <c r="G231" s="88">
        <v>0</v>
      </c>
      <c r="H231" s="88">
        <v>0</v>
      </c>
      <c r="I231" s="147">
        <f t="shared" si="121"/>
        <v>3526900</v>
      </c>
      <c r="J231" s="147">
        <v>0</v>
      </c>
      <c r="K231" s="147">
        <v>0</v>
      </c>
      <c r="L231" s="147">
        <f>+I231</f>
        <v>3526900</v>
      </c>
      <c r="M231" s="147">
        <v>0</v>
      </c>
      <c r="N231" s="147">
        <v>0</v>
      </c>
      <c r="O231" s="147">
        <v>0</v>
      </c>
      <c r="P231" s="147">
        <v>0</v>
      </c>
      <c r="Q231" s="147">
        <v>0</v>
      </c>
      <c r="R231" s="147">
        <v>0</v>
      </c>
      <c r="S231" s="147">
        <v>0</v>
      </c>
      <c r="T231" s="147">
        <v>0</v>
      </c>
      <c r="U231" s="147">
        <v>0</v>
      </c>
      <c r="V231" s="147">
        <f t="shared" si="123"/>
        <v>3526900</v>
      </c>
      <c r="W231" s="149">
        <f t="shared" si="122"/>
        <v>0</v>
      </c>
    </row>
    <row r="232" spans="1:23" ht="25.5" x14ac:dyDescent="0.2">
      <c r="A232" s="160">
        <v>1618</v>
      </c>
      <c r="B232" s="9" t="s">
        <v>277</v>
      </c>
      <c r="C232" s="8" t="s">
        <v>249</v>
      </c>
      <c r="D232" s="86">
        <v>44536688</v>
      </c>
      <c r="E232" s="88">
        <v>0</v>
      </c>
      <c r="F232" s="88">
        <v>0</v>
      </c>
      <c r="G232" s="88">
        <v>0</v>
      </c>
      <c r="H232" s="88">
        <v>0</v>
      </c>
      <c r="I232" s="147">
        <f t="shared" si="121"/>
        <v>44536688</v>
      </c>
      <c r="J232" s="147">
        <v>0</v>
      </c>
      <c r="K232" s="147">
        <v>35629350.399999999</v>
      </c>
      <c r="L232" s="147">
        <v>8907337.5999999996</v>
      </c>
      <c r="M232" s="147">
        <v>0</v>
      </c>
      <c r="N232" s="147">
        <v>0</v>
      </c>
      <c r="O232" s="147">
        <v>0</v>
      </c>
      <c r="P232" s="147">
        <v>0</v>
      </c>
      <c r="Q232" s="147">
        <v>0</v>
      </c>
      <c r="R232" s="147">
        <v>0</v>
      </c>
      <c r="S232" s="147">
        <v>0</v>
      </c>
      <c r="T232" s="147">
        <v>0</v>
      </c>
      <c r="U232" s="147">
        <v>0</v>
      </c>
      <c r="V232" s="147">
        <f t="shared" si="123"/>
        <v>44536688</v>
      </c>
      <c r="W232" s="149">
        <f t="shared" si="122"/>
        <v>0</v>
      </c>
    </row>
    <row r="233" spans="1:23" ht="25.5" x14ac:dyDescent="0.2">
      <c r="A233" s="160">
        <v>1619</v>
      </c>
      <c r="B233" s="9" t="s">
        <v>277</v>
      </c>
      <c r="C233" s="8" t="s">
        <v>249</v>
      </c>
      <c r="D233" s="86">
        <v>19868612.5</v>
      </c>
      <c r="E233" s="88">
        <v>0</v>
      </c>
      <c r="F233" s="88">
        <v>0</v>
      </c>
      <c r="G233" s="88">
        <v>0</v>
      </c>
      <c r="H233" s="88">
        <v>0</v>
      </c>
      <c r="I233" s="147">
        <f t="shared" si="121"/>
        <v>19868612.5</v>
      </c>
      <c r="J233" s="147">
        <v>0</v>
      </c>
      <c r="K233" s="147">
        <v>15894890</v>
      </c>
      <c r="L233" s="147">
        <v>3973722.5</v>
      </c>
      <c r="M233" s="147">
        <v>0</v>
      </c>
      <c r="N233" s="147">
        <v>0</v>
      </c>
      <c r="O233" s="147">
        <v>0</v>
      </c>
      <c r="P233" s="147">
        <v>0</v>
      </c>
      <c r="Q233" s="147">
        <v>0</v>
      </c>
      <c r="R233" s="147">
        <v>0</v>
      </c>
      <c r="S233" s="147">
        <v>0</v>
      </c>
      <c r="T233" s="147">
        <v>0</v>
      </c>
      <c r="U233" s="147">
        <v>0</v>
      </c>
      <c r="V233" s="147">
        <f t="shared" si="123"/>
        <v>19868612.5</v>
      </c>
      <c r="W233" s="149">
        <f t="shared" si="122"/>
        <v>0</v>
      </c>
    </row>
    <row r="234" spans="1:23" ht="25.5" x14ac:dyDescent="0.2">
      <c r="A234" s="160">
        <v>1620</v>
      </c>
      <c r="B234" s="9" t="s">
        <v>277</v>
      </c>
      <c r="C234" s="8" t="s">
        <v>249</v>
      </c>
      <c r="D234" s="86">
        <v>30401355.5</v>
      </c>
      <c r="E234" s="88">
        <v>0</v>
      </c>
      <c r="F234" s="88">
        <v>0</v>
      </c>
      <c r="G234" s="88">
        <v>0</v>
      </c>
      <c r="H234" s="88">
        <v>0</v>
      </c>
      <c r="I234" s="147">
        <f t="shared" si="121"/>
        <v>30401355.5</v>
      </c>
      <c r="J234" s="147">
        <v>0</v>
      </c>
      <c r="K234" s="147">
        <v>24321084.400000002</v>
      </c>
      <c r="L234" s="147">
        <v>6080271.1000000006</v>
      </c>
      <c r="M234" s="147">
        <v>0</v>
      </c>
      <c r="N234" s="147">
        <v>0</v>
      </c>
      <c r="O234" s="147">
        <v>0</v>
      </c>
      <c r="P234" s="147">
        <v>0</v>
      </c>
      <c r="Q234" s="147">
        <v>0</v>
      </c>
      <c r="R234" s="147">
        <v>0</v>
      </c>
      <c r="S234" s="147">
        <v>0</v>
      </c>
      <c r="T234" s="147">
        <v>0</v>
      </c>
      <c r="U234" s="147">
        <v>0</v>
      </c>
      <c r="V234" s="147">
        <f t="shared" si="123"/>
        <v>30401355.500000004</v>
      </c>
      <c r="W234" s="149">
        <f t="shared" si="122"/>
        <v>0</v>
      </c>
    </row>
    <row r="235" spans="1:23" ht="25.5" x14ac:dyDescent="0.2">
      <c r="A235" s="160">
        <v>1651</v>
      </c>
      <c r="B235" s="9" t="s">
        <v>292</v>
      </c>
      <c r="C235" s="8" t="s">
        <v>253</v>
      </c>
      <c r="D235" s="147">
        <v>11310000</v>
      </c>
      <c r="E235" s="88">
        <v>0</v>
      </c>
      <c r="F235" s="88">
        <v>0</v>
      </c>
      <c r="G235" s="88">
        <v>0</v>
      </c>
      <c r="H235" s="88">
        <v>0</v>
      </c>
      <c r="I235" s="147">
        <f t="shared" si="121"/>
        <v>11310000</v>
      </c>
      <c r="J235" s="147">
        <v>0</v>
      </c>
      <c r="K235" s="147">
        <v>11310000</v>
      </c>
      <c r="L235" s="147">
        <v>0</v>
      </c>
      <c r="M235" s="147">
        <v>0</v>
      </c>
      <c r="N235" s="147">
        <v>0</v>
      </c>
      <c r="O235" s="147">
        <v>0</v>
      </c>
      <c r="P235" s="147">
        <v>0</v>
      </c>
      <c r="Q235" s="147">
        <v>0</v>
      </c>
      <c r="R235" s="147">
        <v>0</v>
      </c>
      <c r="S235" s="147">
        <v>0</v>
      </c>
      <c r="T235" s="147">
        <v>0</v>
      </c>
      <c r="U235" s="147">
        <v>0</v>
      </c>
      <c r="V235" s="147">
        <f t="shared" si="123"/>
        <v>11310000</v>
      </c>
      <c r="W235" s="149">
        <f t="shared" si="122"/>
        <v>0</v>
      </c>
    </row>
    <row r="236" spans="1:23" ht="25.5" x14ac:dyDescent="0.2">
      <c r="A236" s="160">
        <v>1652</v>
      </c>
      <c r="B236" s="9" t="s">
        <v>292</v>
      </c>
      <c r="C236" s="8" t="s">
        <v>253</v>
      </c>
      <c r="D236" s="147">
        <v>9000000</v>
      </c>
      <c r="E236" s="88">
        <v>0</v>
      </c>
      <c r="F236" s="88">
        <v>0</v>
      </c>
      <c r="G236" s="88">
        <v>0</v>
      </c>
      <c r="H236" s="88">
        <v>0</v>
      </c>
      <c r="I236" s="147">
        <f t="shared" si="121"/>
        <v>9000000</v>
      </c>
      <c r="J236" s="147">
        <v>0</v>
      </c>
      <c r="K236" s="147">
        <v>9000000</v>
      </c>
      <c r="L236" s="147">
        <v>0</v>
      </c>
      <c r="M236" s="147">
        <v>0</v>
      </c>
      <c r="N236" s="147">
        <v>0</v>
      </c>
      <c r="O236" s="147">
        <v>0</v>
      </c>
      <c r="P236" s="147">
        <v>0</v>
      </c>
      <c r="Q236" s="147">
        <v>0</v>
      </c>
      <c r="R236" s="147">
        <v>0</v>
      </c>
      <c r="S236" s="147">
        <v>0</v>
      </c>
      <c r="T236" s="147">
        <v>0</v>
      </c>
      <c r="U236" s="147">
        <v>0</v>
      </c>
      <c r="V236" s="147">
        <f t="shared" si="123"/>
        <v>9000000</v>
      </c>
      <c r="W236" s="149">
        <f t="shared" si="122"/>
        <v>0</v>
      </c>
    </row>
    <row r="237" spans="1:23" x14ac:dyDescent="0.2">
      <c r="A237" s="160">
        <v>1653</v>
      </c>
      <c r="B237" s="9" t="s">
        <v>250</v>
      </c>
      <c r="C237" s="8" t="s">
        <v>249</v>
      </c>
      <c r="D237" s="147">
        <v>430000000</v>
      </c>
      <c r="E237" s="88">
        <v>0</v>
      </c>
      <c r="F237" s="88">
        <v>0</v>
      </c>
      <c r="G237" s="88">
        <v>0</v>
      </c>
      <c r="H237" s="88">
        <v>0</v>
      </c>
      <c r="I237" s="147">
        <f t="shared" si="121"/>
        <v>430000000</v>
      </c>
      <c r="J237" s="147">
        <v>0</v>
      </c>
      <c r="K237" s="147">
        <v>64500000</v>
      </c>
      <c r="L237" s="147">
        <v>64500000</v>
      </c>
      <c r="M237" s="147">
        <v>64500000</v>
      </c>
      <c r="N237" s="147">
        <v>64500000</v>
      </c>
      <c r="O237" s="147">
        <v>64500000</v>
      </c>
      <c r="P237" s="147">
        <v>64500000</v>
      </c>
      <c r="Q237" s="147">
        <v>0</v>
      </c>
      <c r="R237" s="147">
        <v>0</v>
      </c>
      <c r="S237" s="147">
        <v>0</v>
      </c>
      <c r="T237" s="147">
        <v>0</v>
      </c>
      <c r="U237" s="147">
        <v>43000000</v>
      </c>
      <c r="V237" s="147">
        <f t="shared" si="123"/>
        <v>430000000</v>
      </c>
      <c r="W237" s="149">
        <f t="shared" si="122"/>
        <v>0</v>
      </c>
    </row>
    <row r="238" spans="1:23" x14ac:dyDescent="0.2">
      <c r="A238" s="160">
        <v>1654</v>
      </c>
      <c r="B238" s="9" t="s">
        <v>250</v>
      </c>
      <c r="C238" s="8" t="s">
        <v>249</v>
      </c>
      <c r="D238" s="147">
        <v>112853870.7</v>
      </c>
      <c r="E238" s="88">
        <v>0</v>
      </c>
      <c r="F238" s="88">
        <v>0</v>
      </c>
      <c r="G238" s="88">
        <v>0</v>
      </c>
      <c r="H238" s="88">
        <v>0</v>
      </c>
      <c r="I238" s="147">
        <f t="shared" si="121"/>
        <v>112853870.7</v>
      </c>
      <c r="J238" s="147">
        <v>0</v>
      </c>
      <c r="K238" s="147">
        <v>16928080.605</v>
      </c>
      <c r="L238" s="147">
        <v>16928080.605</v>
      </c>
      <c r="M238" s="147">
        <v>16928080.605</v>
      </c>
      <c r="N238" s="147">
        <v>16928080.605</v>
      </c>
      <c r="O238" s="147">
        <v>16928080.605</v>
      </c>
      <c r="P238" s="147">
        <v>16928080.605</v>
      </c>
      <c r="Q238" s="147">
        <v>0</v>
      </c>
      <c r="R238" s="147">
        <v>0</v>
      </c>
      <c r="S238" s="147">
        <v>0</v>
      </c>
      <c r="T238" s="147">
        <v>0</v>
      </c>
      <c r="U238" s="147">
        <v>11285387.07</v>
      </c>
      <c r="V238" s="147">
        <f t="shared" si="123"/>
        <v>112853870.70000002</v>
      </c>
      <c r="W238" s="149">
        <f t="shared" si="122"/>
        <v>0</v>
      </c>
    </row>
    <row r="239" spans="1:23" ht="25.5" x14ac:dyDescent="0.2">
      <c r="A239" s="160">
        <v>1655</v>
      </c>
      <c r="B239" s="9" t="s">
        <v>293</v>
      </c>
      <c r="C239" s="8" t="s">
        <v>249</v>
      </c>
      <c r="D239" s="147">
        <v>45470481.369999997</v>
      </c>
      <c r="E239" s="88">
        <v>0</v>
      </c>
      <c r="F239" s="88">
        <v>0</v>
      </c>
      <c r="G239" s="88">
        <v>0</v>
      </c>
      <c r="H239" s="88">
        <v>0</v>
      </c>
      <c r="I239" s="147">
        <f t="shared" si="121"/>
        <v>45470481.369999997</v>
      </c>
      <c r="J239" s="147">
        <v>0</v>
      </c>
      <c r="K239" s="147">
        <v>6820572.2054999992</v>
      </c>
      <c r="L239" s="147">
        <v>6820572.2054999992</v>
      </c>
      <c r="M239" s="147">
        <v>6820572.2054999992</v>
      </c>
      <c r="N239" s="147">
        <v>6820572.2054999992</v>
      </c>
      <c r="O239" s="147">
        <v>6820572.2054999992</v>
      </c>
      <c r="P239" s="147">
        <v>6820572.2054999992</v>
      </c>
      <c r="Q239" s="147">
        <v>0</v>
      </c>
      <c r="R239" s="147">
        <v>0</v>
      </c>
      <c r="S239" s="147">
        <v>0</v>
      </c>
      <c r="T239" s="147">
        <v>0</v>
      </c>
      <c r="U239" s="147">
        <v>4547048.1399999997</v>
      </c>
      <c r="V239" s="147">
        <f t="shared" si="123"/>
        <v>45470481.372999996</v>
      </c>
      <c r="W239" s="149">
        <f t="shared" si="122"/>
        <v>-2.9999986290931702E-3</v>
      </c>
    </row>
    <row r="240" spans="1:23" x14ac:dyDescent="0.2">
      <c r="A240" s="160">
        <v>1656</v>
      </c>
      <c r="B240" s="9" t="s">
        <v>294</v>
      </c>
      <c r="C240" s="8" t="s">
        <v>249</v>
      </c>
      <c r="D240" s="147">
        <v>1003491500</v>
      </c>
      <c r="E240" s="88">
        <v>0</v>
      </c>
      <c r="F240" s="88">
        <v>0</v>
      </c>
      <c r="G240" s="88">
        <v>0</v>
      </c>
      <c r="H240" s="88">
        <v>0</v>
      </c>
      <c r="I240" s="147">
        <f t="shared" si="121"/>
        <v>1003491500</v>
      </c>
      <c r="J240" s="147">
        <v>0</v>
      </c>
      <c r="K240" s="147">
        <v>150523725</v>
      </c>
      <c r="L240" s="147">
        <v>150523725</v>
      </c>
      <c r="M240" s="147">
        <v>150523725</v>
      </c>
      <c r="N240" s="147">
        <v>150523725</v>
      </c>
      <c r="O240" s="147">
        <v>150523725</v>
      </c>
      <c r="P240" s="147">
        <v>150523725</v>
      </c>
      <c r="Q240" s="147">
        <v>0</v>
      </c>
      <c r="R240" s="147">
        <v>0</v>
      </c>
      <c r="S240" s="147">
        <v>0</v>
      </c>
      <c r="T240" s="147">
        <v>0</v>
      </c>
      <c r="U240" s="147">
        <v>100349150</v>
      </c>
      <c r="V240" s="147">
        <f t="shared" si="123"/>
        <v>1003491500</v>
      </c>
      <c r="W240" s="149">
        <f t="shared" si="122"/>
        <v>0</v>
      </c>
    </row>
    <row r="241" spans="1:66" x14ac:dyDescent="0.2">
      <c r="A241" s="160">
        <v>1657</v>
      </c>
      <c r="B241" s="9" t="s">
        <v>251</v>
      </c>
      <c r="C241" s="8" t="s">
        <v>107</v>
      </c>
      <c r="D241" s="147">
        <v>137846830</v>
      </c>
      <c r="E241" s="88">
        <v>0</v>
      </c>
      <c r="F241" s="88">
        <v>0</v>
      </c>
      <c r="G241" s="88">
        <v>0</v>
      </c>
      <c r="H241" s="88">
        <v>0</v>
      </c>
      <c r="I241" s="147">
        <f t="shared" si="121"/>
        <v>137846830</v>
      </c>
      <c r="J241" s="147">
        <v>0</v>
      </c>
      <c r="K241" s="147">
        <v>20677024.5</v>
      </c>
      <c r="L241" s="147">
        <v>20677024.5</v>
      </c>
      <c r="M241" s="147">
        <v>20677024.5</v>
      </c>
      <c r="N241" s="147">
        <v>20677024.5</v>
      </c>
      <c r="O241" s="147">
        <v>20677024.5</v>
      </c>
      <c r="P241" s="147">
        <v>20677024.5</v>
      </c>
      <c r="Q241" s="147">
        <v>0</v>
      </c>
      <c r="R241" s="147">
        <v>0</v>
      </c>
      <c r="S241" s="147">
        <v>0</v>
      </c>
      <c r="T241" s="147">
        <v>0</v>
      </c>
      <c r="U241" s="147">
        <v>13784683</v>
      </c>
      <c r="V241" s="147">
        <f t="shared" si="123"/>
        <v>137846830</v>
      </c>
      <c r="W241" s="149">
        <f t="shared" si="122"/>
        <v>0</v>
      </c>
    </row>
    <row r="242" spans="1:66" ht="25.5" x14ac:dyDescent="0.2">
      <c r="A242" s="160">
        <v>1658</v>
      </c>
      <c r="B242" s="9" t="s">
        <v>252</v>
      </c>
      <c r="C242" s="8" t="s">
        <v>253</v>
      </c>
      <c r="D242" s="147">
        <v>116106151</v>
      </c>
      <c r="E242" s="88">
        <v>0</v>
      </c>
      <c r="F242" s="88">
        <v>0</v>
      </c>
      <c r="G242" s="88">
        <v>0</v>
      </c>
      <c r="H242" s="88">
        <v>0</v>
      </c>
      <c r="I242" s="147">
        <f t="shared" si="121"/>
        <v>116106151</v>
      </c>
      <c r="J242" s="147">
        <v>0</v>
      </c>
      <c r="K242" s="147">
        <v>17415922.650000002</v>
      </c>
      <c r="L242" s="147">
        <v>17415922.650000002</v>
      </c>
      <c r="M242" s="147">
        <v>17415922.650000002</v>
      </c>
      <c r="N242" s="147">
        <v>17415922.650000002</v>
      </c>
      <c r="O242" s="147">
        <v>17415922.650000002</v>
      </c>
      <c r="P242" s="147">
        <v>17415922.650000002</v>
      </c>
      <c r="Q242" s="147">
        <v>0</v>
      </c>
      <c r="R242" s="147">
        <v>0</v>
      </c>
      <c r="S242" s="147">
        <v>0</v>
      </c>
      <c r="T242" s="147">
        <v>0</v>
      </c>
      <c r="U242" s="147">
        <v>11610615.099999994</v>
      </c>
      <c r="V242" s="147">
        <f t="shared" si="123"/>
        <v>116106151.00000001</v>
      </c>
      <c r="W242" s="149">
        <f t="shared" si="122"/>
        <v>0</v>
      </c>
    </row>
    <row r="243" spans="1:66" ht="25.5" x14ac:dyDescent="0.2">
      <c r="A243" s="160">
        <v>1659</v>
      </c>
      <c r="B243" s="9" t="s">
        <v>292</v>
      </c>
      <c r="C243" s="8" t="s">
        <v>253</v>
      </c>
      <c r="D243" s="147">
        <v>1299384.24</v>
      </c>
      <c r="E243" s="88">
        <v>0</v>
      </c>
      <c r="F243" s="88">
        <v>0</v>
      </c>
      <c r="G243" s="88">
        <v>0</v>
      </c>
      <c r="H243" s="88">
        <v>0</v>
      </c>
      <c r="I243" s="147">
        <f t="shared" si="121"/>
        <v>1299384.24</v>
      </c>
      <c r="J243" s="147">
        <v>0</v>
      </c>
      <c r="K243" s="147">
        <v>194907.63600000003</v>
      </c>
      <c r="L243" s="147">
        <v>194907.63600000003</v>
      </c>
      <c r="M243" s="147">
        <v>194907.63600000003</v>
      </c>
      <c r="N243" s="147">
        <v>194907.63600000003</v>
      </c>
      <c r="O243" s="147">
        <v>194907.63600000003</v>
      </c>
      <c r="P243" s="147">
        <v>194907.63600000003</v>
      </c>
      <c r="Q243" s="147">
        <v>0</v>
      </c>
      <c r="R243" s="147">
        <v>0</v>
      </c>
      <c r="S243" s="147">
        <v>0</v>
      </c>
      <c r="T243" s="147">
        <v>0</v>
      </c>
      <c r="U243" s="147">
        <v>129938.42399999988</v>
      </c>
      <c r="V243" s="147">
        <f t="shared" si="123"/>
        <v>1299384.24</v>
      </c>
      <c r="W243" s="149">
        <f t="shared" si="122"/>
        <v>0</v>
      </c>
    </row>
    <row r="244" spans="1:66" x14ac:dyDescent="0.2">
      <c r="A244" s="160">
        <v>1661</v>
      </c>
      <c r="B244" s="9" t="s">
        <v>295</v>
      </c>
      <c r="C244" s="8" t="s">
        <v>249</v>
      </c>
      <c r="D244" s="86">
        <v>149999926</v>
      </c>
      <c r="E244" s="88">
        <v>0</v>
      </c>
      <c r="F244" s="88">
        <v>0</v>
      </c>
      <c r="G244" s="88">
        <v>0</v>
      </c>
      <c r="H244" s="88">
        <v>0</v>
      </c>
      <c r="I244" s="147">
        <f t="shared" si="121"/>
        <v>149999926</v>
      </c>
      <c r="J244" s="147">
        <v>0</v>
      </c>
      <c r="K244" s="147">
        <v>149999926</v>
      </c>
      <c r="L244" s="147">
        <v>0</v>
      </c>
      <c r="M244" s="147">
        <v>0</v>
      </c>
      <c r="N244" s="147">
        <v>0</v>
      </c>
      <c r="O244" s="147">
        <v>0</v>
      </c>
      <c r="P244" s="147">
        <v>0</v>
      </c>
      <c r="Q244" s="147">
        <v>0</v>
      </c>
      <c r="R244" s="147">
        <v>0</v>
      </c>
      <c r="S244" s="147">
        <v>0</v>
      </c>
      <c r="T244" s="147">
        <v>0</v>
      </c>
      <c r="U244" s="147">
        <v>0</v>
      </c>
      <c r="V244" s="147">
        <f t="shared" si="123"/>
        <v>149999926</v>
      </c>
      <c r="W244" s="149">
        <f t="shared" si="122"/>
        <v>0</v>
      </c>
    </row>
    <row r="245" spans="1:66" x14ac:dyDescent="0.2">
      <c r="A245" s="160">
        <v>1664</v>
      </c>
      <c r="B245" s="9" t="s">
        <v>296</v>
      </c>
      <c r="C245" s="8" t="s">
        <v>249</v>
      </c>
      <c r="D245" s="86">
        <v>2225223401</v>
      </c>
      <c r="E245" s="88">
        <v>0</v>
      </c>
      <c r="F245" s="88">
        <v>0</v>
      </c>
      <c r="G245" s="88">
        <v>0</v>
      </c>
      <c r="H245" s="88">
        <v>0</v>
      </c>
      <c r="I245" s="147">
        <f t="shared" si="121"/>
        <v>2225223401</v>
      </c>
      <c r="J245" s="147"/>
      <c r="K245" s="147">
        <v>890089360.4000001</v>
      </c>
      <c r="L245" s="147"/>
      <c r="M245" s="147"/>
      <c r="N245" s="147"/>
      <c r="O245" s="147">
        <v>1112611700.5</v>
      </c>
      <c r="P245" s="147"/>
      <c r="Q245" s="147"/>
      <c r="R245" s="147"/>
      <c r="S245" s="147"/>
      <c r="T245" s="147"/>
      <c r="U245" s="147">
        <v>222522340.10000002</v>
      </c>
      <c r="V245" s="147">
        <f t="shared" si="123"/>
        <v>2225223401</v>
      </c>
      <c r="W245" s="149">
        <f t="shared" si="122"/>
        <v>0</v>
      </c>
    </row>
    <row r="246" spans="1:66" s="32" customFormat="1" x14ac:dyDescent="0.2">
      <c r="A246" s="160"/>
      <c r="B246" s="33">
        <v>5</v>
      </c>
      <c r="C246" s="179" t="s">
        <v>46</v>
      </c>
      <c r="D246" s="87">
        <f>+D247+D249</f>
        <v>240173843.73000002</v>
      </c>
      <c r="E246" s="86">
        <v>0</v>
      </c>
      <c r="F246" s="86">
        <v>0</v>
      </c>
      <c r="G246" s="86">
        <v>0</v>
      </c>
      <c r="H246" s="86">
        <v>0</v>
      </c>
      <c r="I246" s="87">
        <f>I247</f>
        <v>0</v>
      </c>
      <c r="J246" s="73">
        <f>J247</f>
        <v>0</v>
      </c>
      <c r="K246" s="73">
        <f t="shared" ref="K246:V247" si="124">K247</f>
        <v>0</v>
      </c>
      <c r="L246" s="73">
        <f t="shared" si="124"/>
        <v>0</v>
      </c>
      <c r="M246" s="73">
        <f t="shared" si="124"/>
        <v>0</v>
      </c>
      <c r="N246" s="73">
        <f t="shared" si="124"/>
        <v>0</v>
      </c>
      <c r="O246" s="73">
        <f t="shared" si="124"/>
        <v>0</v>
      </c>
      <c r="P246" s="73">
        <f t="shared" si="124"/>
        <v>0</v>
      </c>
      <c r="Q246" s="73">
        <f t="shared" si="124"/>
        <v>0</v>
      </c>
      <c r="R246" s="73">
        <f t="shared" si="124"/>
        <v>0</v>
      </c>
      <c r="S246" s="73">
        <f t="shared" si="124"/>
        <v>0</v>
      </c>
      <c r="T246" s="73">
        <f t="shared" si="124"/>
        <v>0</v>
      </c>
      <c r="U246" s="73">
        <f t="shared" si="124"/>
        <v>0</v>
      </c>
      <c r="V246" s="73">
        <f t="shared" si="84"/>
        <v>0</v>
      </c>
      <c r="W246" s="64"/>
      <c r="X246" s="29"/>
      <c r="Y246" s="29"/>
      <c r="Z246" s="29"/>
      <c r="AA246" s="29"/>
      <c r="AB246" s="29"/>
      <c r="AC246" s="29"/>
      <c r="AD246" s="29"/>
      <c r="AE246" s="29"/>
      <c r="AF246" s="29"/>
      <c r="AG246" s="29"/>
      <c r="AH246" s="29"/>
      <c r="AI246" s="29"/>
      <c r="AJ246" s="29"/>
      <c r="AK246" s="29"/>
      <c r="AL246" s="29"/>
      <c r="AM246" s="29"/>
      <c r="AN246" s="29"/>
      <c r="AO246" s="29"/>
      <c r="AP246" s="29"/>
      <c r="AQ246" s="29"/>
      <c r="AR246" s="29"/>
      <c r="AS246" s="29"/>
      <c r="AT246" s="29"/>
      <c r="AU246" s="29"/>
      <c r="AV246" s="29"/>
      <c r="AW246" s="29"/>
      <c r="AX246" s="29"/>
      <c r="AY246" s="29"/>
      <c r="AZ246" s="29"/>
      <c r="BA246" s="29"/>
      <c r="BB246" s="29"/>
      <c r="BC246" s="29"/>
      <c r="BD246" s="29"/>
      <c r="BE246" s="29"/>
      <c r="BF246" s="29"/>
      <c r="BG246" s="29"/>
      <c r="BH246" s="29"/>
      <c r="BI246" s="29"/>
      <c r="BJ246" s="29"/>
      <c r="BK246" s="29"/>
      <c r="BL246" s="29"/>
      <c r="BM246" s="29"/>
      <c r="BN246" s="29"/>
    </row>
    <row r="247" spans="1:66" s="26" customFormat="1" x14ac:dyDescent="0.2">
      <c r="A247" s="157"/>
      <c r="B247" s="31"/>
      <c r="C247" s="178" t="s">
        <v>19</v>
      </c>
      <c r="D247" s="85">
        <f>SUM(D248:D248)</f>
        <v>0</v>
      </c>
      <c r="E247" s="85">
        <f>+E248</f>
        <v>0</v>
      </c>
      <c r="F247" s="85">
        <f>+F248</f>
        <v>0</v>
      </c>
      <c r="G247" s="85">
        <f>+G248</f>
        <v>0</v>
      </c>
      <c r="H247" s="85">
        <f>+H248</f>
        <v>0</v>
      </c>
      <c r="I247" s="85">
        <f>D247+E247-F247+G247-H247</f>
        <v>0</v>
      </c>
      <c r="J247" s="75">
        <f>J248</f>
        <v>0</v>
      </c>
      <c r="K247" s="75">
        <f t="shared" si="124"/>
        <v>0</v>
      </c>
      <c r="L247" s="75">
        <f t="shared" si="124"/>
        <v>0</v>
      </c>
      <c r="M247" s="75">
        <f t="shared" si="124"/>
        <v>0</v>
      </c>
      <c r="N247" s="75">
        <f t="shared" si="124"/>
        <v>0</v>
      </c>
      <c r="O247" s="75">
        <f t="shared" si="124"/>
        <v>0</v>
      </c>
      <c r="P247" s="75">
        <f t="shared" si="124"/>
        <v>0</v>
      </c>
      <c r="Q247" s="75">
        <f t="shared" si="124"/>
        <v>0</v>
      </c>
      <c r="R247" s="75">
        <f t="shared" si="124"/>
        <v>0</v>
      </c>
      <c r="S247" s="75">
        <f t="shared" si="124"/>
        <v>0</v>
      </c>
      <c r="T247" s="75">
        <f t="shared" si="124"/>
        <v>0</v>
      </c>
      <c r="U247" s="75">
        <f t="shared" si="124"/>
        <v>0</v>
      </c>
      <c r="V247" s="75">
        <f t="shared" si="124"/>
        <v>0</v>
      </c>
      <c r="W247" s="64"/>
    </row>
    <row r="248" spans="1:66" s="32" customFormat="1" x14ac:dyDescent="0.2">
      <c r="A248" s="160"/>
      <c r="B248" s="9"/>
      <c r="C248" s="180"/>
      <c r="D248" s="86">
        <v>0</v>
      </c>
      <c r="E248" s="86">
        <v>0</v>
      </c>
      <c r="F248" s="86">
        <v>0</v>
      </c>
      <c r="G248" s="86">
        <v>0</v>
      </c>
      <c r="H248" s="86">
        <v>0</v>
      </c>
      <c r="I248" s="86">
        <f>D248+E248-F248+G248-H248</f>
        <v>0</v>
      </c>
      <c r="J248" s="86"/>
      <c r="K248" s="86"/>
      <c r="L248" s="86"/>
      <c r="M248" s="86"/>
      <c r="N248" s="86"/>
      <c r="O248" s="86">
        <v>0</v>
      </c>
      <c r="P248" s="86">
        <v>0</v>
      </c>
      <c r="Q248" s="86">
        <v>0</v>
      </c>
      <c r="R248" s="86">
        <v>0</v>
      </c>
      <c r="S248" s="86">
        <v>0</v>
      </c>
      <c r="T248" s="86">
        <v>0</v>
      </c>
      <c r="U248" s="86">
        <v>0</v>
      </c>
      <c r="V248" s="86">
        <f>J248+K248+L248+M248+N248+O248+P248+Q248+R248+S248+T248+U248</f>
        <v>0</v>
      </c>
      <c r="W248" s="64"/>
      <c r="X248" s="29"/>
      <c r="Y248" s="29"/>
      <c r="Z248" s="29"/>
      <c r="AA248" s="29"/>
      <c r="AB248" s="29"/>
      <c r="AC248" s="29"/>
      <c r="AD248" s="29"/>
      <c r="AE248" s="29"/>
      <c r="AF248" s="29"/>
      <c r="AG248" s="29"/>
      <c r="AH248" s="29"/>
      <c r="AI248" s="29"/>
      <c r="AJ248" s="29"/>
      <c r="AK248" s="29"/>
      <c r="AL248" s="29"/>
      <c r="AM248" s="29"/>
      <c r="AN248" s="29"/>
      <c r="AO248" s="29"/>
      <c r="AP248" s="29"/>
      <c r="AQ248" s="29"/>
      <c r="AR248" s="29"/>
      <c r="AS248" s="29"/>
      <c r="AT248" s="29"/>
      <c r="AU248" s="29"/>
      <c r="AV248" s="29"/>
      <c r="AW248" s="29"/>
      <c r="AX248" s="29"/>
      <c r="AY248" s="29"/>
      <c r="AZ248" s="29"/>
      <c r="BA248" s="29"/>
      <c r="BB248" s="29"/>
      <c r="BC248" s="29"/>
      <c r="BD248" s="29"/>
      <c r="BE248" s="29"/>
      <c r="BF248" s="29"/>
      <c r="BG248" s="29"/>
      <c r="BH248" s="29"/>
      <c r="BI248" s="29"/>
      <c r="BJ248" s="29"/>
      <c r="BK248" s="29"/>
      <c r="BL248" s="29"/>
      <c r="BM248" s="29"/>
      <c r="BN248" s="29"/>
    </row>
    <row r="249" spans="1:66" s="34" customFormat="1" x14ac:dyDescent="0.2">
      <c r="A249" s="163"/>
      <c r="B249" s="31"/>
      <c r="C249" s="178" t="s">
        <v>20</v>
      </c>
      <c r="D249" s="85">
        <f>D250+D251+D252+D253+D254+D255+D256+D257+D258+D259</f>
        <v>240173843.73000002</v>
      </c>
      <c r="E249" s="85">
        <f t="shared" ref="E249:V249" si="125">E250+E251+E252+E253+E254+E255+E256+E257+E258+E259</f>
        <v>0</v>
      </c>
      <c r="F249" s="85">
        <f t="shared" si="125"/>
        <v>0</v>
      </c>
      <c r="G249" s="85">
        <f t="shared" si="125"/>
        <v>0</v>
      </c>
      <c r="H249" s="85">
        <f t="shared" si="125"/>
        <v>0</v>
      </c>
      <c r="I249" s="85">
        <f t="shared" si="125"/>
        <v>240173843.73000002</v>
      </c>
      <c r="J249" s="85">
        <f t="shared" si="125"/>
        <v>0</v>
      </c>
      <c r="K249" s="85">
        <f t="shared" si="125"/>
        <v>240173843.73000002</v>
      </c>
      <c r="L249" s="85">
        <f t="shared" si="125"/>
        <v>0</v>
      </c>
      <c r="M249" s="85">
        <f t="shared" si="125"/>
        <v>0</v>
      </c>
      <c r="N249" s="85">
        <f t="shared" si="125"/>
        <v>0</v>
      </c>
      <c r="O249" s="85">
        <f t="shared" si="125"/>
        <v>0</v>
      </c>
      <c r="P249" s="85">
        <f t="shared" si="125"/>
        <v>0</v>
      </c>
      <c r="Q249" s="85">
        <f t="shared" si="125"/>
        <v>0</v>
      </c>
      <c r="R249" s="85">
        <f t="shared" si="125"/>
        <v>0</v>
      </c>
      <c r="S249" s="85">
        <f t="shared" si="125"/>
        <v>0</v>
      </c>
      <c r="T249" s="85">
        <f t="shared" si="125"/>
        <v>0</v>
      </c>
      <c r="U249" s="85">
        <f t="shared" si="125"/>
        <v>0</v>
      </c>
      <c r="V249" s="85">
        <f t="shared" si="125"/>
        <v>240173843.73000002</v>
      </c>
      <c r="W249" s="64"/>
      <c r="X249" s="26"/>
      <c r="Y249" s="26"/>
      <c r="Z249" s="26"/>
      <c r="AA249" s="26"/>
      <c r="AB249" s="26"/>
      <c r="AC249" s="26"/>
      <c r="AD249" s="26"/>
      <c r="AE249" s="26"/>
      <c r="AF249" s="26"/>
      <c r="AG249" s="26"/>
      <c r="AH249" s="26"/>
      <c r="AI249" s="26"/>
      <c r="AJ249" s="26"/>
      <c r="AK249" s="26"/>
      <c r="AL249" s="26"/>
      <c r="AM249" s="26"/>
      <c r="AN249" s="26"/>
      <c r="AO249" s="26"/>
      <c r="AP249" s="26"/>
      <c r="AQ249" s="26"/>
      <c r="AR249" s="26"/>
      <c r="AS249" s="26"/>
      <c r="AT249" s="26"/>
      <c r="AU249" s="26"/>
      <c r="AV249" s="26"/>
      <c r="AW249" s="26"/>
      <c r="AX249" s="26"/>
      <c r="AY249" s="26"/>
      <c r="AZ249" s="26"/>
      <c r="BA249" s="26"/>
      <c r="BB249" s="26"/>
      <c r="BC249" s="26"/>
      <c r="BD249" s="26"/>
      <c r="BE249" s="26"/>
      <c r="BF249" s="26"/>
      <c r="BG249" s="26"/>
      <c r="BH249" s="26"/>
      <c r="BI249" s="26"/>
      <c r="BJ249" s="26"/>
      <c r="BK249" s="26"/>
      <c r="BL249" s="26"/>
      <c r="BM249" s="26"/>
      <c r="BN249" s="26"/>
    </row>
    <row r="250" spans="1:66" s="32" customFormat="1" ht="38.25" x14ac:dyDescent="0.2">
      <c r="A250" s="160" t="s">
        <v>238</v>
      </c>
      <c r="B250" s="9" t="s">
        <v>237</v>
      </c>
      <c r="C250" s="180" t="s">
        <v>107</v>
      </c>
      <c r="D250" s="86">
        <v>6143248.1600000001</v>
      </c>
      <c r="E250" s="86">
        <v>0</v>
      </c>
      <c r="F250" s="86">
        <v>0</v>
      </c>
      <c r="G250" s="86">
        <v>0</v>
      </c>
      <c r="H250" s="86">
        <v>0</v>
      </c>
      <c r="I250" s="86">
        <f>D250+E250-F250+G250-H250</f>
        <v>6143248.1600000001</v>
      </c>
      <c r="J250" s="86">
        <v>0</v>
      </c>
      <c r="K250" s="86">
        <v>6143248.1600000001</v>
      </c>
      <c r="L250" s="86">
        <v>0</v>
      </c>
      <c r="M250" s="86">
        <v>0</v>
      </c>
      <c r="N250" s="86">
        <v>0</v>
      </c>
      <c r="O250" s="86">
        <v>0</v>
      </c>
      <c r="P250" s="86">
        <v>0</v>
      </c>
      <c r="Q250" s="86">
        <v>0</v>
      </c>
      <c r="R250" s="86">
        <v>0</v>
      </c>
      <c r="S250" s="86">
        <v>0</v>
      </c>
      <c r="T250" s="86">
        <v>0</v>
      </c>
      <c r="U250" s="86">
        <v>0</v>
      </c>
      <c r="V250" s="86">
        <f t="shared" ref="V250" si="126">SUM(J250:U250)</f>
        <v>6143248.1600000001</v>
      </c>
      <c r="W250" s="64"/>
      <c r="X250" s="29"/>
      <c r="Y250" s="29"/>
      <c r="Z250" s="29"/>
      <c r="AA250" s="29"/>
      <c r="AB250" s="29"/>
      <c r="AC250" s="29"/>
      <c r="AD250" s="29"/>
      <c r="AE250" s="29"/>
      <c r="AF250" s="29"/>
      <c r="AG250" s="29"/>
      <c r="AH250" s="29"/>
      <c r="AI250" s="29"/>
      <c r="AJ250" s="29"/>
      <c r="AK250" s="29"/>
      <c r="AL250" s="29"/>
      <c r="AM250" s="29"/>
      <c r="AN250" s="29"/>
      <c r="AO250" s="29"/>
      <c r="AP250" s="29"/>
      <c r="AQ250" s="29"/>
      <c r="AR250" s="29"/>
      <c r="AS250" s="29"/>
      <c r="AT250" s="29"/>
      <c r="AU250" s="29"/>
      <c r="AV250" s="29"/>
      <c r="AW250" s="29"/>
      <c r="AX250" s="29"/>
      <c r="AY250" s="29"/>
      <c r="AZ250" s="29"/>
      <c r="BA250" s="29"/>
      <c r="BB250" s="29"/>
      <c r="BC250" s="29"/>
      <c r="BD250" s="29"/>
      <c r="BE250" s="29"/>
      <c r="BF250" s="29"/>
      <c r="BG250" s="29"/>
      <c r="BH250" s="29"/>
      <c r="BI250" s="29"/>
      <c r="BJ250" s="29"/>
      <c r="BK250" s="29"/>
      <c r="BL250" s="29"/>
      <c r="BM250" s="29"/>
      <c r="BN250" s="29"/>
    </row>
    <row r="251" spans="1:66" s="32" customFormat="1" ht="38.25" x14ac:dyDescent="0.2">
      <c r="A251" s="160" t="s">
        <v>239</v>
      </c>
      <c r="B251" s="9" t="s">
        <v>231</v>
      </c>
      <c r="C251" s="180" t="s">
        <v>107</v>
      </c>
      <c r="D251" s="86">
        <v>86678343.989999995</v>
      </c>
      <c r="E251" s="86">
        <v>0</v>
      </c>
      <c r="F251" s="86">
        <v>0</v>
      </c>
      <c r="G251" s="86">
        <v>0</v>
      </c>
      <c r="H251" s="86">
        <v>0</v>
      </c>
      <c r="I251" s="86">
        <f t="shared" ref="I251:I259" si="127">D251+E251-F251+G251-H251</f>
        <v>86678343.989999995</v>
      </c>
      <c r="J251" s="86">
        <v>0</v>
      </c>
      <c r="K251" s="86">
        <v>86678343.989999995</v>
      </c>
      <c r="L251" s="86">
        <v>0</v>
      </c>
      <c r="M251" s="86">
        <v>0</v>
      </c>
      <c r="N251" s="86">
        <v>0</v>
      </c>
      <c r="O251" s="86">
        <v>0</v>
      </c>
      <c r="P251" s="86">
        <v>0</v>
      </c>
      <c r="Q251" s="86">
        <v>0</v>
      </c>
      <c r="R251" s="86">
        <v>0</v>
      </c>
      <c r="S251" s="86">
        <v>0</v>
      </c>
      <c r="T251" s="86">
        <v>0</v>
      </c>
      <c r="U251" s="86">
        <v>0</v>
      </c>
      <c r="V251" s="86">
        <f t="shared" ref="V251:V259" si="128">SUM(J251:U251)</f>
        <v>86678343.989999995</v>
      </c>
      <c r="W251" s="64"/>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c r="AT251" s="29"/>
      <c r="AU251" s="29"/>
      <c r="AV251" s="29"/>
      <c r="AW251" s="29"/>
      <c r="AX251" s="29"/>
      <c r="AY251" s="29"/>
      <c r="AZ251" s="29"/>
      <c r="BA251" s="29"/>
      <c r="BB251" s="29"/>
      <c r="BC251" s="29"/>
      <c r="BD251" s="29"/>
      <c r="BE251" s="29"/>
      <c r="BF251" s="29"/>
      <c r="BG251" s="29"/>
      <c r="BH251" s="29"/>
      <c r="BI251" s="29"/>
      <c r="BJ251" s="29"/>
      <c r="BK251" s="29"/>
      <c r="BL251" s="29"/>
      <c r="BM251" s="29"/>
      <c r="BN251" s="29"/>
    </row>
    <row r="252" spans="1:66" s="32" customFormat="1" ht="38.25" x14ac:dyDescent="0.2">
      <c r="A252" s="160" t="s">
        <v>240</v>
      </c>
      <c r="B252" s="9" t="s">
        <v>232</v>
      </c>
      <c r="C252" s="8" t="s">
        <v>233</v>
      </c>
      <c r="D252" s="86">
        <v>2497252.38</v>
      </c>
      <c r="E252" s="86"/>
      <c r="F252" s="86"/>
      <c r="G252" s="86"/>
      <c r="H252" s="86"/>
      <c r="I252" s="86">
        <f t="shared" si="127"/>
        <v>2497252.38</v>
      </c>
      <c r="J252" s="86">
        <v>0</v>
      </c>
      <c r="K252" s="86">
        <v>2497252.38</v>
      </c>
      <c r="L252" s="86">
        <v>0</v>
      </c>
      <c r="M252" s="86">
        <v>0</v>
      </c>
      <c r="N252" s="86">
        <v>0</v>
      </c>
      <c r="O252" s="86">
        <v>0</v>
      </c>
      <c r="P252" s="86">
        <v>0</v>
      </c>
      <c r="Q252" s="86">
        <v>0</v>
      </c>
      <c r="R252" s="86">
        <v>0</v>
      </c>
      <c r="S252" s="86">
        <v>0</v>
      </c>
      <c r="T252" s="86">
        <v>0</v>
      </c>
      <c r="U252" s="86">
        <v>0</v>
      </c>
      <c r="V252" s="86">
        <f t="shared" si="128"/>
        <v>2497252.38</v>
      </c>
      <c r="W252" s="64"/>
      <c r="X252" s="29"/>
      <c r="Y252" s="29"/>
      <c r="Z252" s="29"/>
      <c r="AA252" s="29"/>
      <c r="AB252" s="29"/>
      <c r="AC252" s="29"/>
      <c r="AD252" s="29"/>
      <c r="AE252" s="29"/>
      <c r="AF252" s="29"/>
      <c r="AG252" s="29"/>
      <c r="AH252" s="29"/>
      <c r="AI252" s="29"/>
      <c r="AJ252" s="29"/>
      <c r="AK252" s="29"/>
      <c r="AL252" s="29"/>
      <c r="AM252" s="29"/>
      <c r="AN252" s="29"/>
      <c r="AO252" s="29"/>
      <c r="AP252" s="29"/>
      <c r="AQ252" s="29"/>
      <c r="AR252" s="29"/>
      <c r="AS252" s="29"/>
      <c r="AT252" s="29"/>
      <c r="AU252" s="29"/>
      <c r="AV252" s="29"/>
      <c r="AW252" s="29"/>
      <c r="AX252" s="29"/>
      <c r="AY252" s="29"/>
      <c r="AZ252" s="29"/>
      <c r="BA252" s="29"/>
      <c r="BB252" s="29"/>
      <c r="BC252" s="29"/>
      <c r="BD252" s="29"/>
      <c r="BE252" s="29"/>
      <c r="BF252" s="29"/>
      <c r="BG252" s="29"/>
      <c r="BH252" s="29"/>
      <c r="BI252" s="29"/>
      <c r="BJ252" s="29"/>
      <c r="BK252" s="29"/>
      <c r="BL252" s="29"/>
      <c r="BM252" s="29"/>
      <c r="BN252" s="29"/>
    </row>
    <row r="253" spans="1:66" s="32" customFormat="1" ht="38.25" x14ac:dyDescent="0.2">
      <c r="A253" s="160" t="s">
        <v>241</v>
      </c>
      <c r="B253" s="9" t="s">
        <v>234</v>
      </c>
      <c r="C253" s="8" t="s">
        <v>233</v>
      </c>
      <c r="D253" s="86">
        <v>61550904.630000003</v>
      </c>
      <c r="E253" s="86"/>
      <c r="F253" s="86"/>
      <c r="G253" s="86"/>
      <c r="H253" s="86"/>
      <c r="I253" s="86">
        <f t="shared" si="127"/>
        <v>61550904.630000003</v>
      </c>
      <c r="J253" s="86">
        <v>0</v>
      </c>
      <c r="K253" s="86">
        <v>61550904.630000003</v>
      </c>
      <c r="L253" s="86">
        <v>0</v>
      </c>
      <c r="M253" s="86">
        <v>0</v>
      </c>
      <c r="N253" s="86">
        <v>0</v>
      </c>
      <c r="O253" s="86">
        <v>0</v>
      </c>
      <c r="P253" s="86">
        <v>0</v>
      </c>
      <c r="Q253" s="86">
        <v>0</v>
      </c>
      <c r="R253" s="86">
        <v>0</v>
      </c>
      <c r="S253" s="86">
        <v>0</v>
      </c>
      <c r="T253" s="86">
        <v>0</v>
      </c>
      <c r="U253" s="86">
        <v>0</v>
      </c>
      <c r="V253" s="86">
        <f t="shared" si="128"/>
        <v>61550904.630000003</v>
      </c>
      <c r="W253" s="64"/>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c r="AT253" s="29"/>
      <c r="AU253" s="29"/>
      <c r="AV253" s="29"/>
      <c r="AW253" s="29"/>
      <c r="AX253" s="29"/>
      <c r="AY253" s="29"/>
      <c r="AZ253" s="29"/>
      <c r="BA253" s="29"/>
      <c r="BB253" s="29"/>
      <c r="BC253" s="29"/>
      <c r="BD253" s="29"/>
      <c r="BE253" s="29"/>
      <c r="BF253" s="29"/>
      <c r="BG253" s="29"/>
      <c r="BH253" s="29"/>
      <c r="BI253" s="29"/>
      <c r="BJ253" s="29"/>
      <c r="BK253" s="29"/>
      <c r="BL253" s="29"/>
      <c r="BM253" s="29"/>
      <c r="BN253" s="29"/>
    </row>
    <row r="254" spans="1:66" s="32" customFormat="1" ht="38.25" x14ac:dyDescent="0.2">
      <c r="A254" s="160" t="s">
        <v>242</v>
      </c>
      <c r="B254" s="9" t="s">
        <v>234</v>
      </c>
      <c r="C254" s="8" t="s">
        <v>233</v>
      </c>
      <c r="D254" s="86">
        <v>2211404.9700000002</v>
      </c>
      <c r="E254" s="86"/>
      <c r="F254" s="86"/>
      <c r="G254" s="86"/>
      <c r="H254" s="86"/>
      <c r="I254" s="86">
        <f t="shared" si="127"/>
        <v>2211404.9700000002</v>
      </c>
      <c r="J254" s="86">
        <v>0</v>
      </c>
      <c r="K254" s="86">
        <v>2211404.9700000002</v>
      </c>
      <c r="L254" s="86">
        <v>0</v>
      </c>
      <c r="M254" s="86">
        <v>0</v>
      </c>
      <c r="N254" s="86">
        <v>0</v>
      </c>
      <c r="O254" s="86">
        <v>0</v>
      </c>
      <c r="P254" s="86">
        <v>0</v>
      </c>
      <c r="Q254" s="86">
        <v>0</v>
      </c>
      <c r="R254" s="86">
        <v>0</v>
      </c>
      <c r="S254" s="86">
        <v>0</v>
      </c>
      <c r="T254" s="86">
        <v>0</v>
      </c>
      <c r="U254" s="86">
        <v>0</v>
      </c>
      <c r="V254" s="86">
        <f t="shared" si="128"/>
        <v>2211404.9700000002</v>
      </c>
      <c r="W254" s="64"/>
      <c r="X254" s="29"/>
      <c r="Y254" s="29"/>
      <c r="Z254" s="29"/>
      <c r="AA254" s="29"/>
      <c r="AB254" s="29"/>
      <c r="AC254" s="29"/>
      <c r="AD254" s="29"/>
      <c r="AE254" s="29"/>
      <c r="AF254" s="29"/>
      <c r="AG254" s="29"/>
      <c r="AH254" s="29"/>
      <c r="AI254" s="29"/>
      <c r="AJ254" s="29"/>
      <c r="AK254" s="29"/>
      <c r="AL254" s="29"/>
      <c r="AM254" s="29"/>
      <c r="AN254" s="29"/>
      <c r="AO254" s="29"/>
      <c r="AP254" s="29"/>
      <c r="AQ254" s="29"/>
      <c r="AR254" s="29"/>
      <c r="AS254" s="29"/>
      <c r="AT254" s="29"/>
      <c r="AU254" s="29"/>
      <c r="AV254" s="29"/>
      <c r="AW254" s="29"/>
      <c r="AX254" s="29"/>
      <c r="AY254" s="29"/>
      <c r="AZ254" s="29"/>
      <c r="BA254" s="29"/>
      <c r="BB254" s="29"/>
      <c r="BC254" s="29"/>
      <c r="BD254" s="29"/>
      <c r="BE254" s="29"/>
      <c r="BF254" s="29"/>
      <c r="BG254" s="29"/>
      <c r="BH254" s="29"/>
      <c r="BI254" s="29"/>
      <c r="BJ254" s="29"/>
      <c r="BK254" s="29"/>
      <c r="BL254" s="29"/>
      <c r="BM254" s="29"/>
      <c r="BN254" s="29"/>
    </row>
    <row r="255" spans="1:66" s="32" customFormat="1" ht="38.25" x14ac:dyDescent="0.2">
      <c r="A255" s="160" t="s">
        <v>243</v>
      </c>
      <c r="B255" s="9" t="s">
        <v>235</v>
      </c>
      <c r="C255" s="8" t="s">
        <v>233</v>
      </c>
      <c r="D255" s="86">
        <v>36254640.240000002</v>
      </c>
      <c r="E255" s="86"/>
      <c r="F255" s="86"/>
      <c r="G255" s="86"/>
      <c r="H255" s="86"/>
      <c r="I255" s="86">
        <f t="shared" si="127"/>
        <v>36254640.240000002</v>
      </c>
      <c r="J255" s="86">
        <v>0</v>
      </c>
      <c r="K255" s="86">
        <v>36254640.240000002</v>
      </c>
      <c r="L255" s="86">
        <v>0</v>
      </c>
      <c r="M255" s="86">
        <v>0</v>
      </c>
      <c r="N255" s="86">
        <v>0</v>
      </c>
      <c r="O255" s="86">
        <v>0</v>
      </c>
      <c r="P255" s="86">
        <v>0</v>
      </c>
      <c r="Q255" s="86">
        <v>0</v>
      </c>
      <c r="R255" s="86">
        <v>0</v>
      </c>
      <c r="S255" s="86">
        <v>0</v>
      </c>
      <c r="T255" s="86">
        <v>0</v>
      </c>
      <c r="U255" s="86">
        <v>0</v>
      </c>
      <c r="V255" s="86">
        <f t="shared" si="128"/>
        <v>36254640.240000002</v>
      </c>
      <c r="W255" s="64"/>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c r="AT255" s="29"/>
      <c r="AU255" s="29"/>
      <c r="AV255" s="29"/>
      <c r="AW255" s="29"/>
      <c r="AX255" s="29"/>
      <c r="AY255" s="29"/>
      <c r="AZ255" s="29"/>
      <c r="BA255" s="29"/>
      <c r="BB255" s="29"/>
      <c r="BC255" s="29"/>
      <c r="BD255" s="29"/>
      <c r="BE255" s="29"/>
      <c r="BF255" s="29"/>
      <c r="BG255" s="29"/>
      <c r="BH255" s="29"/>
      <c r="BI255" s="29"/>
      <c r="BJ255" s="29"/>
      <c r="BK255" s="29"/>
      <c r="BL255" s="29"/>
      <c r="BM255" s="29"/>
      <c r="BN255" s="29"/>
    </row>
    <row r="256" spans="1:66" s="32" customFormat="1" ht="38.25" x14ac:dyDescent="0.2">
      <c r="A256" s="160" t="s">
        <v>244</v>
      </c>
      <c r="B256" s="9" t="s">
        <v>236</v>
      </c>
      <c r="C256" s="8" t="s">
        <v>233</v>
      </c>
      <c r="D256" s="86">
        <v>39004339.359999999</v>
      </c>
      <c r="E256" s="86"/>
      <c r="F256" s="86"/>
      <c r="G256" s="86"/>
      <c r="H256" s="86"/>
      <c r="I256" s="86">
        <f t="shared" si="127"/>
        <v>39004339.359999999</v>
      </c>
      <c r="J256" s="86">
        <v>0</v>
      </c>
      <c r="K256" s="86">
        <v>39004339.359999999</v>
      </c>
      <c r="L256" s="86">
        <v>0</v>
      </c>
      <c r="M256" s="86">
        <v>0</v>
      </c>
      <c r="N256" s="86">
        <v>0</v>
      </c>
      <c r="O256" s="86">
        <v>0</v>
      </c>
      <c r="P256" s="86">
        <v>0</v>
      </c>
      <c r="Q256" s="86">
        <v>0</v>
      </c>
      <c r="R256" s="86">
        <v>0</v>
      </c>
      <c r="S256" s="86">
        <v>0</v>
      </c>
      <c r="T256" s="86">
        <v>0</v>
      </c>
      <c r="U256" s="86">
        <v>0</v>
      </c>
      <c r="V256" s="86">
        <f t="shared" si="128"/>
        <v>39004339.359999999</v>
      </c>
      <c r="W256" s="64"/>
      <c r="X256" s="29"/>
      <c r="Y256" s="29"/>
      <c r="Z256" s="29"/>
      <c r="AA256" s="29"/>
      <c r="AB256" s="29"/>
      <c r="AC256" s="29"/>
      <c r="AD256" s="29"/>
      <c r="AE256" s="29"/>
      <c r="AF256" s="29"/>
      <c r="AG256" s="29"/>
      <c r="AH256" s="29"/>
      <c r="AI256" s="29"/>
      <c r="AJ256" s="29"/>
      <c r="AK256" s="29"/>
      <c r="AL256" s="29"/>
      <c r="AM256" s="29"/>
      <c r="AN256" s="29"/>
      <c r="AO256" s="29"/>
      <c r="AP256" s="29"/>
      <c r="AQ256" s="29"/>
      <c r="AR256" s="29"/>
      <c r="AS256" s="29"/>
      <c r="AT256" s="29"/>
      <c r="AU256" s="29"/>
      <c r="AV256" s="29"/>
      <c r="AW256" s="29"/>
      <c r="AX256" s="29"/>
      <c r="AY256" s="29"/>
      <c r="AZ256" s="29"/>
      <c r="BA256" s="29"/>
      <c r="BB256" s="29"/>
      <c r="BC256" s="29"/>
      <c r="BD256" s="29"/>
      <c r="BE256" s="29"/>
      <c r="BF256" s="29"/>
      <c r="BG256" s="29"/>
      <c r="BH256" s="29"/>
      <c r="BI256" s="29"/>
      <c r="BJ256" s="29"/>
      <c r="BK256" s="29"/>
      <c r="BL256" s="29"/>
      <c r="BM256" s="29"/>
      <c r="BN256" s="29"/>
    </row>
    <row r="257" spans="1:66" s="32" customFormat="1" ht="38.25" x14ac:dyDescent="0.2">
      <c r="A257" s="160" t="s">
        <v>245</v>
      </c>
      <c r="B257" s="9" t="s">
        <v>234</v>
      </c>
      <c r="C257" s="8" t="s">
        <v>233</v>
      </c>
      <c r="D257" s="86">
        <v>3522240</v>
      </c>
      <c r="E257" s="86"/>
      <c r="F257" s="86"/>
      <c r="G257" s="86"/>
      <c r="H257" s="86"/>
      <c r="I257" s="86">
        <f t="shared" si="127"/>
        <v>3522240</v>
      </c>
      <c r="J257" s="86">
        <v>0</v>
      </c>
      <c r="K257" s="86">
        <v>3522240</v>
      </c>
      <c r="L257" s="86">
        <v>0</v>
      </c>
      <c r="M257" s="86">
        <v>0</v>
      </c>
      <c r="N257" s="86">
        <v>0</v>
      </c>
      <c r="O257" s="86">
        <v>0</v>
      </c>
      <c r="P257" s="86">
        <v>0</v>
      </c>
      <c r="Q257" s="86">
        <v>0</v>
      </c>
      <c r="R257" s="86">
        <v>0</v>
      </c>
      <c r="S257" s="86">
        <v>0</v>
      </c>
      <c r="T257" s="86">
        <v>0</v>
      </c>
      <c r="U257" s="86">
        <v>0</v>
      </c>
      <c r="V257" s="86">
        <f t="shared" si="128"/>
        <v>3522240</v>
      </c>
      <c r="W257" s="64"/>
      <c r="X257" s="29"/>
      <c r="Y257" s="29"/>
      <c r="Z257" s="29"/>
      <c r="AA257" s="29"/>
      <c r="AB257" s="29"/>
      <c r="AC257" s="29"/>
      <c r="AD257" s="29"/>
      <c r="AE257" s="29"/>
      <c r="AF257" s="29"/>
      <c r="AG257" s="29"/>
      <c r="AH257" s="29"/>
      <c r="AI257" s="29"/>
      <c r="AJ257" s="29"/>
      <c r="AK257" s="29"/>
      <c r="AL257" s="29"/>
      <c r="AM257" s="29"/>
      <c r="AN257" s="29"/>
      <c r="AO257" s="29"/>
      <c r="AP257" s="29"/>
      <c r="AQ257" s="29"/>
      <c r="AR257" s="29"/>
      <c r="AS257" s="29"/>
      <c r="AT257" s="29"/>
      <c r="AU257" s="29"/>
      <c r="AV257" s="29"/>
      <c r="AW257" s="29"/>
      <c r="AX257" s="29"/>
      <c r="AY257" s="29"/>
      <c r="AZ257" s="29"/>
      <c r="BA257" s="29"/>
      <c r="BB257" s="29"/>
      <c r="BC257" s="29"/>
      <c r="BD257" s="29"/>
      <c r="BE257" s="29"/>
      <c r="BF257" s="29"/>
      <c r="BG257" s="29"/>
      <c r="BH257" s="29"/>
      <c r="BI257" s="29"/>
      <c r="BJ257" s="29"/>
      <c r="BK257" s="29"/>
      <c r="BL257" s="29"/>
      <c r="BM257" s="29"/>
      <c r="BN257" s="29"/>
    </row>
    <row r="258" spans="1:66" s="32" customFormat="1" ht="38.25" x14ac:dyDescent="0.2">
      <c r="A258" s="160" t="s">
        <v>246</v>
      </c>
      <c r="B258" s="9" t="s">
        <v>234</v>
      </c>
      <c r="C258" s="8" t="s">
        <v>233</v>
      </c>
      <c r="D258" s="86">
        <v>891070</v>
      </c>
      <c r="E258" s="86"/>
      <c r="F258" s="86"/>
      <c r="G258" s="86"/>
      <c r="H258" s="86"/>
      <c r="I258" s="86">
        <f t="shared" si="127"/>
        <v>891070</v>
      </c>
      <c r="J258" s="86">
        <v>0</v>
      </c>
      <c r="K258" s="86">
        <v>891070</v>
      </c>
      <c r="L258" s="86">
        <v>0</v>
      </c>
      <c r="M258" s="86">
        <v>0</v>
      </c>
      <c r="N258" s="86">
        <v>0</v>
      </c>
      <c r="O258" s="86">
        <v>0</v>
      </c>
      <c r="P258" s="86">
        <v>0</v>
      </c>
      <c r="Q258" s="86">
        <v>0</v>
      </c>
      <c r="R258" s="86">
        <v>0</v>
      </c>
      <c r="S258" s="86">
        <v>0</v>
      </c>
      <c r="T258" s="86">
        <v>0</v>
      </c>
      <c r="U258" s="86">
        <v>0</v>
      </c>
      <c r="V258" s="86">
        <f t="shared" si="128"/>
        <v>891070</v>
      </c>
      <c r="W258" s="64"/>
      <c r="X258" s="29"/>
      <c r="Y258" s="29"/>
      <c r="Z258" s="29"/>
      <c r="AA258" s="29"/>
      <c r="AB258" s="29"/>
      <c r="AC258" s="29"/>
      <c r="AD258" s="29"/>
      <c r="AE258" s="29"/>
      <c r="AF258" s="29"/>
      <c r="AG258" s="29"/>
      <c r="AH258" s="29"/>
      <c r="AI258" s="29"/>
      <c r="AJ258" s="29"/>
      <c r="AK258" s="29"/>
      <c r="AL258" s="29"/>
      <c r="AM258" s="29"/>
      <c r="AN258" s="29"/>
      <c r="AO258" s="29"/>
      <c r="AP258" s="29"/>
      <c r="AQ258" s="29"/>
      <c r="AR258" s="29"/>
      <c r="AS258" s="29"/>
      <c r="AT258" s="29"/>
      <c r="AU258" s="29"/>
      <c r="AV258" s="29"/>
      <c r="AW258" s="29"/>
      <c r="AX258" s="29"/>
      <c r="AY258" s="29"/>
      <c r="AZ258" s="29"/>
      <c r="BA258" s="29"/>
      <c r="BB258" s="29"/>
      <c r="BC258" s="29"/>
      <c r="BD258" s="29"/>
      <c r="BE258" s="29"/>
      <c r="BF258" s="29"/>
      <c r="BG258" s="29"/>
      <c r="BH258" s="29"/>
      <c r="BI258" s="29"/>
      <c r="BJ258" s="29"/>
      <c r="BK258" s="29"/>
      <c r="BL258" s="29"/>
      <c r="BM258" s="29"/>
      <c r="BN258" s="29"/>
    </row>
    <row r="259" spans="1:66" s="32" customFormat="1" ht="38.25" x14ac:dyDescent="0.2">
      <c r="A259" s="160" t="s">
        <v>247</v>
      </c>
      <c r="B259" s="9" t="s">
        <v>234</v>
      </c>
      <c r="C259" s="8" t="s">
        <v>233</v>
      </c>
      <c r="D259" s="86">
        <v>1420400</v>
      </c>
      <c r="E259" s="86"/>
      <c r="F259" s="86"/>
      <c r="G259" s="86"/>
      <c r="H259" s="86"/>
      <c r="I259" s="86">
        <f t="shared" si="127"/>
        <v>1420400</v>
      </c>
      <c r="J259" s="86">
        <v>0</v>
      </c>
      <c r="K259" s="86">
        <v>1420400</v>
      </c>
      <c r="L259" s="86">
        <v>0</v>
      </c>
      <c r="M259" s="86">
        <v>0</v>
      </c>
      <c r="N259" s="86">
        <v>0</v>
      </c>
      <c r="O259" s="86">
        <v>0</v>
      </c>
      <c r="P259" s="86">
        <v>0</v>
      </c>
      <c r="Q259" s="86">
        <v>0</v>
      </c>
      <c r="R259" s="86">
        <v>0</v>
      </c>
      <c r="S259" s="86">
        <v>0</v>
      </c>
      <c r="T259" s="86">
        <v>0</v>
      </c>
      <c r="U259" s="86">
        <v>0</v>
      </c>
      <c r="V259" s="86">
        <f t="shared" si="128"/>
        <v>1420400</v>
      </c>
      <c r="W259" s="64"/>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c r="AV259" s="29"/>
      <c r="AW259" s="29"/>
      <c r="AX259" s="29"/>
      <c r="AY259" s="29"/>
      <c r="AZ259" s="29"/>
      <c r="BA259" s="29"/>
      <c r="BB259" s="29"/>
      <c r="BC259" s="29"/>
      <c r="BD259" s="29"/>
      <c r="BE259" s="29"/>
      <c r="BF259" s="29"/>
      <c r="BG259" s="29"/>
      <c r="BH259" s="29"/>
      <c r="BI259" s="29"/>
      <c r="BJ259" s="29"/>
      <c r="BK259" s="29"/>
      <c r="BL259" s="29"/>
      <c r="BM259" s="29"/>
      <c r="BN259" s="29"/>
    </row>
    <row r="260" spans="1:66" x14ac:dyDescent="0.2">
      <c r="B260" s="36" t="s">
        <v>35</v>
      </c>
      <c r="C260" s="181" t="s">
        <v>39</v>
      </c>
      <c r="D260" s="89">
        <f>D30+D74</f>
        <v>101909465820.87221</v>
      </c>
      <c r="E260" s="89">
        <f>+E30+E71+E74+E113+E246</f>
        <v>0</v>
      </c>
      <c r="F260" s="89">
        <f>+F30+F71+F74+F113+F246</f>
        <v>0</v>
      </c>
      <c r="G260" s="89">
        <f>+G30+G71+G74+G113+G246</f>
        <v>0</v>
      </c>
      <c r="H260" s="89">
        <f>+H30+H71+H74+H113+H246</f>
        <v>0</v>
      </c>
      <c r="I260" s="89">
        <f>+D260+E260-F260+G260-H260</f>
        <v>101909465820.87221</v>
      </c>
      <c r="J260" s="89">
        <f t="shared" ref="J260:U260" si="129">J30+J74</f>
        <v>2484397757.2505584</v>
      </c>
      <c r="K260" s="89">
        <f t="shared" si="129"/>
        <v>6939722005.7090311</v>
      </c>
      <c r="L260" s="89">
        <f t="shared" si="129"/>
        <v>8991022841.4161873</v>
      </c>
      <c r="M260" s="89">
        <f t="shared" si="129"/>
        <v>6509311173.0765715</v>
      </c>
      <c r="N260" s="89">
        <f t="shared" si="129"/>
        <v>13591478429.690277</v>
      </c>
      <c r="O260" s="89">
        <f t="shared" si="129"/>
        <v>13578303616.128086</v>
      </c>
      <c r="P260" s="89">
        <f t="shared" si="129"/>
        <v>10442476066.681887</v>
      </c>
      <c r="Q260" s="89">
        <f t="shared" si="129"/>
        <v>9752933817.3854313</v>
      </c>
      <c r="R260" s="89">
        <f t="shared" si="129"/>
        <v>10084908549.062025</v>
      </c>
      <c r="S260" s="89">
        <f t="shared" si="129"/>
        <v>6607246591.1857176</v>
      </c>
      <c r="T260" s="89">
        <f t="shared" si="129"/>
        <v>5671053655.2991924</v>
      </c>
      <c r="U260" s="89">
        <f t="shared" si="129"/>
        <v>7256611317.9912567</v>
      </c>
      <c r="V260" s="89">
        <f t="shared" si="84"/>
        <v>101909465820.87622</v>
      </c>
      <c r="W260" s="64"/>
    </row>
    <row r="261" spans="1:66" x14ac:dyDescent="0.2">
      <c r="B261" s="37"/>
      <c r="C261" s="182" t="s">
        <v>36</v>
      </c>
      <c r="D261" s="90">
        <f>D28-D260</f>
        <v>90641722287.637802</v>
      </c>
      <c r="E261" s="90">
        <f>+E28-E260</f>
        <v>0</v>
      </c>
      <c r="F261" s="90">
        <f>+F28-F260</f>
        <v>0</v>
      </c>
      <c r="G261" s="90">
        <f>+G28-G260</f>
        <v>0</v>
      </c>
      <c r="H261" s="90">
        <f>+H28-H260</f>
        <v>0</v>
      </c>
      <c r="I261" s="90">
        <f>+I28-I260</f>
        <v>90641722287.637802</v>
      </c>
      <c r="J261" s="91"/>
      <c r="K261" s="91"/>
      <c r="L261" s="91"/>
      <c r="M261" s="91"/>
      <c r="N261" s="91"/>
      <c r="O261" s="91"/>
      <c r="P261" s="91"/>
      <c r="Q261" s="91"/>
      <c r="R261" s="91"/>
      <c r="S261" s="91"/>
      <c r="T261" s="91"/>
      <c r="U261" s="91"/>
      <c r="V261" s="91">
        <f>+V28-V260</f>
        <v>0</v>
      </c>
      <c r="W261" s="64"/>
    </row>
    <row r="265" spans="1:66" ht="15.75" x14ac:dyDescent="0.2">
      <c r="E265" s="64"/>
      <c r="F265" s="64"/>
      <c r="G265" s="126"/>
      <c r="H265" s="64"/>
      <c r="I265" s="119"/>
    </row>
    <row r="266" spans="1:66" ht="14.25" x14ac:dyDescent="0.2">
      <c r="E266" s="64"/>
      <c r="F266" s="64"/>
      <c r="G266" s="127"/>
      <c r="H266" s="64"/>
      <c r="I266" s="119"/>
    </row>
    <row r="267" spans="1:66" s="38" customFormat="1" ht="15" x14ac:dyDescent="0.2">
      <c r="A267" s="164"/>
      <c r="C267" s="184" t="s">
        <v>158</v>
      </c>
      <c r="D267" s="115"/>
      <c r="E267" s="116"/>
      <c r="F267" s="116"/>
      <c r="G267" s="116"/>
      <c r="H267" s="116"/>
      <c r="I267" s="120"/>
      <c r="J267" s="115"/>
      <c r="K267" s="115"/>
      <c r="L267" s="128" t="s">
        <v>224</v>
      </c>
      <c r="M267" s="115"/>
      <c r="N267" s="115"/>
      <c r="O267" s="115"/>
      <c r="P267" s="115"/>
      <c r="Q267" s="115"/>
      <c r="R267" s="115"/>
      <c r="S267" s="115"/>
      <c r="T267" s="115"/>
      <c r="U267" s="115"/>
      <c r="V267" s="115"/>
      <c r="W267" s="71"/>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row>
    <row r="268" spans="1:66" s="38" customFormat="1" ht="15" x14ac:dyDescent="0.2">
      <c r="A268" s="164"/>
      <c r="C268" s="185" t="s">
        <v>136</v>
      </c>
      <c r="D268" s="116"/>
      <c r="E268" s="116"/>
      <c r="F268" s="116"/>
      <c r="G268" s="116"/>
      <c r="H268" s="116"/>
      <c r="I268" s="120"/>
      <c r="J268" s="115"/>
      <c r="K268" s="115"/>
      <c r="L268" s="129" t="s">
        <v>201</v>
      </c>
      <c r="M268" s="130"/>
      <c r="N268" s="115"/>
      <c r="O268" s="115"/>
      <c r="P268" s="115"/>
      <c r="Q268" s="115"/>
      <c r="R268" s="115"/>
      <c r="S268" s="115"/>
      <c r="T268" s="115"/>
      <c r="U268" s="115"/>
      <c r="V268" s="115"/>
      <c r="W268" s="71"/>
      <c r="X268" s="39"/>
      <c r="Y268" s="39"/>
      <c r="Z268" s="39"/>
      <c r="AA268" s="39"/>
      <c r="AB268" s="39"/>
      <c r="AC268" s="39"/>
      <c r="AD268" s="39"/>
      <c r="AE268" s="39"/>
      <c r="AF268" s="39"/>
      <c r="AG268" s="39"/>
      <c r="AH268" s="39"/>
      <c r="AI268" s="39"/>
      <c r="AJ268" s="39"/>
      <c r="AK268" s="39"/>
      <c r="AL268" s="39"/>
      <c r="AM268" s="39"/>
      <c r="AN268" s="39"/>
      <c r="AO268" s="39"/>
      <c r="AP268" s="39"/>
      <c r="AQ268" s="39"/>
      <c r="AR268" s="39"/>
      <c r="AS268" s="39"/>
      <c r="AT268" s="39"/>
      <c r="AU268" s="39"/>
      <c r="AV268" s="39"/>
      <c r="AW268" s="39"/>
      <c r="AX268" s="39"/>
      <c r="AY268" s="39"/>
      <c r="AZ268" s="39"/>
      <c r="BA268" s="39"/>
      <c r="BB268" s="39"/>
      <c r="BC268" s="39"/>
      <c r="BD268" s="39"/>
      <c r="BE268" s="39"/>
      <c r="BF268" s="39"/>
      <c r="BG268" s="39"/>
      <c r="BH268" s="39"/>
      <c r="BI268" s="39"/>
      <c r="BJ268" s="39"/>
      <c r="BK268" s="39"/>
      <c r="BL268" s="39"/>
      <c r="BM268" s="39"/>
      <c r="BN268" s="39"/>
    </row>
    <row r="269" spans="1:66" x14ac:dyDescent="0.2">
      <c r="B269" s="35" t="s">
        <v>159</v>
      </c>
    </row>
  </sheetData>
  <autoFilter ref="B29:BN249" xr:uid="{00000000-0001-0000-0000-000000000000}"/>
  <mergeCells count="2">
    <mergeCell ref="C1:G1"/>
    <mergeCell ref="C2:I2"/>
  </mergeCells>
  <pageMargins left="0.43307086614173229" right="0.23622047244094491" top="0.74803149606299213" bottom="0.74803149606299213" header="0.11811023622047245" footer="0.31496062992125984"/>
  <pageSetup paperSize="9" scale="38" fitToHeight="0" orientation="landscape" r:id="rId1"/>
  <headerFooter>
    <oddFooter>&amp;C&amp;P DE &amp;N</oddFooter>
  </headerFooter>
  <rowBreaks count="1" manualBreakCount="1">
    <brk id="73" min="1" max="21" man="1"/>
  </rowBreaks>
  <ignoredErrors>
    <ignoredError sqref="I79 I74:I76 I107:I108 V19 I102 V97 I49:I50 I54 I57 I94 I104 I111 I98 V50 V56 I71 M13:M16 I8:I9" formula="1"/>
    <ignoredError sqref="V108:V109 V99 E113 V83 V86 F246:H247 V75:V78 P79:R79 T79:V79 F113:H114 V112:V113 J113:O113 V115 V246 V117:V122 V123 D249 I250:I259 D114 I114:I122" unlockedFormula="1"/>
    <ignoredError sqref="E57" formulaRange="1"/>
    <ignoredError sqref="V84 V80:V81" formula="1"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ABAB-6581-4EFB-AFD3-35D87F83ED7F}">
  <sheetPr>
    <tabColor rgb="FF00B0F0"/>
  </sheetPr>
  <dimension ref="A1:BN269"/>
  <sheetViews>
    <sheetView view="pageBreakPreview" zoomScale="70" zoomScaleNormal="70" zoomScaleSheetLayoutView="70" workbookViewId="0">
      <pane xSplit="3" ySplit="4" topLeftCell="J242" activePane="bottomRight" state="frozen"/>
      <selection pane="topRight" activeCell="C1" sqref="C1"/>
      <selection pane="bottomLeft" activeCell="A5" sqref="A5"/>
      <selection pane="bottomRight" activeCell="C1" sqref="C1:G1"/>
    </sheetView>
  </sheetViews>
  <sheetFormatPr baseColWidth="10" defaultColWidth="8.85546875" defaultRowHeight="12.75" x14ac:dyDescent="0.2"/>
  <cols>
    <col min="1" max="1" width="8.85546875" style="160"/>
    <col min="2" max="2" width="44.7109375" style="35" customWidth="1"/>
    <col min="3" max="3" width="51.28515625" style="183" customWidth="1"/>
    <col min="4" max="4" width="26.7109375" style="40" customWidth="1"/>
    <col min="5" max="5" width="10.7109375" style="40" bestFit="1" customWidth="1"/>
    <col min="6" max="6" width="11.28515625" style="40" bestFit="1" customWidth="1"/>
    <col min="7" max="7" width="9.140625" style="40" bestFit="1" customWidth="1"/>
    <col min="8" max="8" width="11.7109375" style="40" bestFit="1" customWidth="1"/>
    <col min="9" max="9" width="22.5703125" style="121" customWidth="1"/>
    <col min="10" max="10" width="23.7109375" style="40" customWidth="1"/>
    <col min="11" max="11" width="20.28515625" style="40" bestFit="1" customWidth="1"/>
    <col min="12" max="12" width="21.28515625" style="40" customWidth="1"/>
    <col min="13" max="13" width="23.5703125" style="40" customWidth="1"/>
    <col min="14" max="14" width="27.140625" style="40" customWidth="1"/>
    <col min="15" max="15" width="22.7109375" style="40" customWidth="1"/>
    <col min="16" max="16" width="21.140625" style="40" customWidth="1"/>
    <col min="17" max="17" width="21" style="40" customWidth="1"/>
    <col min="18" max="18" width="23.140625" style="40" customWidth="1"/>
    <col min="19" max="19" width="21.85546875" style="40" customWidth="1"/>
    <col min="20" max="20" width="23.42578125" style="40" customWidth="1"/>
    <col min="21" max="21" width="22.7109375" style="40" customWidth="1"/>
    <col min="22" max="22" width="26.42578125" style="40" customWidth="1"/>
    <col min="23" max="23" width="22.42578125" style="70" customWidth="1"/>
    <col min="24" max="24" width="19.42578125" style="28" customWidth="1"/>
    <col min="25" max="66" width="8.85546875" style="28" customWidth="1"/>
    <col min="67" max="16384" width="8.85546875" style="35"/>
  </cols>
  <sheetData>
    <row r="1" spans="1:66" s="10" customFormat="1" ht="22.5" x14ac:dyDescent="0.2">
      <c r="A1" s="153"/>
      <c r="C1" s="186" t="s">
        <v>301</v>
      </c>
      <c r="D1" s="186"/>
      <c r="E1" s="186"/>
      <c r="F1" s="186"/>
      <c r="G1" s="186"/>
      <c r="H1" s="100"/>
      <c r="I1" s="117"/>
      <c r="J1" s="100"/>
      <c r="K1" s="100"/>
      <c r="L1" s="100"/>
      <c r="M1" s="100"/>
      <c r="N1" s="100"/>
      <c r="O1" s="100"/>
      <c r="P1" s="100"/>
      <c r="Q1" s="100"/>
      <c r="R1" s="100"/>
      <c r="S1" s="100"/>
      <c r="T1" s="100"/>
      <c r="U1" s="100"/>
      <c r="V1" s="100"/>
      <c r="W1" s="66"/>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row>
    <row r="2" spans="1:66" s="10" customFormat="1" ht="22.5" x14ac:dyDescent="0.2">
      <c r="A2" s="153"/>
      <c r="C2" s="187" t="s">
        <v>43</v>
      </c>
      <c r="D2" s="187"/>
      <c r="E2" s="187"/>
      <c r="F2" s="187"/>
      <c r="G2" s="187"/>
      <c r="H2" s="187"/>
      <c r="I2" s="187"/>
      <c r="J2" s="100"/>
      <c r="K2" s="100"/>
      <c r="L2" s="100"/>
      <c r="M2" s="100"/>
      <c r="N2" s="100"/>
      <c r="O2" s="100"/>
      <c r="P2" s="100"/>
      <c r="Q2" s="100"/>
      <c r="R2" s="100"/>
      <c r="S2" s="100"/>
      <c r="T2" s="100"/>
      <c r="U2" s="100"/>
      <c r="V2" s="100"/>
      <c r="W2" s="66"/>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row>
    <row r="3" spans="1:66" s="10" customFormat="1" x14ac:dyDescent="0.2">
      <c r="A3" s="153"/>
      <c r="C3" s="167"/>
      <c r="D3" s="100"/>
      <c r="E3" s="100"/>
      <c r="F3" s="100"/>
      <c r="G3" s="100"/>
      <c r="H3" s="100"/>
      <c r="I3" s="117"/>
      <c r="J3" s="100"/>
      <c r="K3" s="100"/>
      <c r="L3" s="100"/>
      <c r="M3" s="100"/>
      <c r="N3" s="100"/>
      <c r="O3" s="100"/>
      <c r="P3" s="100"/>
      <c r="Q3" s="100"/>
      <c r="R3" s="100"/>
      <c r="S3" s="100"/>
      <c r="T3" s="100"/>
      <c r="U3" s="100"/>
      <c r="V3" s="100"/>
      <c r="W3" s="66"/>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row>
    <row r="4" spans="1:66" s="1" customFormat="1" ht="76.5" customHeight="1" x14ac:dyDescent="0.2">
      <c r="A4" s="154"/>
      <c r="B4" s="3"/>
      <c r="C4" s="168" t="s">
        <v>37</v>
      </c>
      <c r="D4" s="101" t="s">
        <v>21</v>
      </c>
      <c r="E4" s="101" t="s">
        <v>22</v>
      </c>
      <c r="F4" s="101" t="s">
        <v>23</v>
      </c>
      <c r="G4" s="101" t="s">
        <v>40</v>
      </c>
      <c r="H4" s="101" t="s">
        <v>41</v>
      </c>
      <c r="I4" s="101" t="s">
        <v>24</v>
      </c>
      <c r="J4" s="101" t="s">
        <v>25</v>
      </c>
      <c r="K4" s="101" t="s">
        <v>26</v>
      </c>
      <c r="L4" s="101" t="s">
        <v>0</v>
      </c>
      <c r="M4" s="101" t="s">
        <v>27</v>
      </c>
      <c r="N4" s="101" t="s">
        <v>3</v>
      </c>
      <c r="O4" s="101" t="s">
        <v>1</v>
      </c>
      <c r="P4" s="101" t="s">
        <v>28</v>
      </c>
      <c r="Q4" s="101" t="s">
        <v>4</v>
      </c>
      <c r="R4" s="101" t="s">
        <v>29</v>
      </c>
      <c r="S4" s="101" t="s">
        <v>2</v>
      </c>
      <c r="T4" s="101" t="s">
        <v>30</v>
      </c>
      <c r="U4" s="101" t="s">
        <v>31</v>
      </c>
      <c r="V4" s="101" t="s">
        <v>32</v>
      </c>
      <c r="W4" s="67"/>
    </row>
    <row r="5" spans="1:66" s="11" customFormat="1" x14ac:dyDescent="0.2">
      <c r="A5" s="155"/>
      <c r="B5" s="13">
        <v>1</v>
      </c>
      <c r="C5" s="169" t="s">
        <v>5</v>
      </c>
      <c r="D5" s="102">
        <f>SUM(D6:D8)</f>
        <v>90641722287.639999</v>
      </c>
      <c r="E5" s="102">
        <f>SUM(E6:E8)</f>
        <v>0</v>
      </c>
      <c r="F5" s="102">
        <f>SUM(F6:F8)</f>
        <v>0</v>
      </c>
      <c r="G5" s="102">
        <v>0</v>
      </c>
      <c r="H5" s="102">
        <v>0</v>
      </c>
      <c r="I5" s="111">
        <f>+D5+E5-F5+G5-H5</f>
        <v>90641722287.639999</v>
      </c>
      <c r="J5" s="102">
        <f>SUM(J6:J8)</f>
        <v>0</v>
      </c>
      <c r="K5" s="102">
        <f t="shared" ref="K5:V5" si="0">SUM(K6:K8)</f>
        <v>0</v>
      </c>
      <c r="L5" s="102">
        <f t="shared" si="0"/>
        <v>0</v>
      </c>
      <c r="M5" s="102">
        <f t="shared" si="0"/>
        <v>0</v>
      </c>
      <c r="N5" s="102">
        <f t="shared" si="0"/>
        <v>0</v>
      </c>
      <c r="O5" s="102">
        <f t="shared" si="0"/>
        <v>0</v>
      </c>
      <c r="P5" s="102">
        <f t="shared" si="0"/>
        <v>0</v>
      </c>
      <c r="Q5" s="102">
        <f t="shared" si="0"/>
        <v>0</v>
      </c>
      <c r="R5" s="102">
        <f t="shared" si="0"/>
        <v>0</v>
      </c>
      <c r="S5" s="102">
        <f t="shared" si="0"/>
        <v>0</v>
      </c>
      <c r="T5" s="102">
        <f t="shared" si="0"/>
        <v>0</v>
      </c>
      <c r="U5" s="102">
        <f t="shared" si="0"/>
        <v>0</v>
      </c>
      <c r="V5" s="102">
        <f t="shared" si="0"/>
        <v>0</v>
      </c>
      <c r="W5" s="68"/>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row>
    <row r="6" spans="1:66" s="18" customFormat="1" x14ac:dyDescent="0.2">
      <c r="A6" s="153"/>
      <c r="B6" s="16"/>
      <c r="C6" s="170" t="s">
        <v>6</v>
      </c>
      <c r="D6" s="103">
        <v>0</v>
      </c>
      <c r="E6" s="103">
        <v>0</v>
      </c>
      <c r="F6" s="103">
        <v>0</v>
      </c>
      <c r="G6" s="103">
        <v>0</v>
      </c>
      <c r="H6" s="103">
        <v>0</v>
      </c>
      <c r="I6" s="111">
        <f>D6+E6-F6+G6-H6</f>
        <v>0</v>
      </c>
      <c r="J6" s="103">
        <v>0</v>
      </c>
      <c r="K6" s="103">
        <v>0</v>
      </c>
      <c r="L6" s="103">
        <v>0</v>
      </c>
      <c r="M6" s="103">
        <v>0</v>
      </c>
      <c r="N6" s="103">
        <v>0</v>
      </c>
      <c r="O6" s="103">
        <v>0</v>
      </c>
      <c r="P6" s="103">
        <v>0</v>
      </c>
      <c r="Q6" s="103">
        <v>0</v>
      </c>
      <c r="R6" s="103">
        <v>0</v>
      </c>
      <c r="S6" s="103">
        <v>0</v>
      </c>
      <c r="T6" s="103">
        <v>0</v>
      </c>
      <c r="U6" s="103">
        <v>0</v>
      </c>
      <c r="V6" s="103">
        <v>0</v>
      </c>
      <c r="W6" s="69"/>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row>
    <row r="7" spans="1:66" s="18" customFormat="1" x14ac:dyDescent="0.2">
      <c r="A7" s="153"/>
      <c r="B7" s="16"/>
      <c r="C7" s="170" t="s">
        <v>7</v>
      </c>
      <c r="D7" s="103">
        <f>90401548443.91+240173843.73</f>
        <v>90641722287.639999</v>
      </c>
      <c r="E7" s="103">
        <v>0</v>
      </c>
      <c r="F7" s="103">
        <v>0</v>
      </c>
      <c r="G7" s="103">
        <v>0</v>
      </c>
      <c r="H7" s="103">
        <v>0</v>
      </c>
      <c r="I7" s="166">
        <f>D7+E7-F7+G7-H7</f>
        <v>90641722287.639999</v>
      </c>
      <c r="J7" s="103">
        <v>0</v>
      </c>
      <c r="K7" s="103">
        <v>0</v>
      </c>
      <c r="L7" s="103">
        <v>0</v>
      </c>
      <c r="M7" s="103">
        <v>0</v>
      </c>
      <c r="N7" s="103">
        <v>0</v>
      </c>
      <c r="O7" s="103">
        <v>0</v>
      </c>
      <c r="P7" s="103">
        <v>0</v>
      </c>
      <c r="Q7" s="103">
        <v>0</v>
      </c>
      <c r="R7" s="103">
        <v>0</v>
      </c>
      <c r="S7" s="103">
        <v>0</v>
      </c>
      <c r="T7" s="103">
        <v>0</v>
      </c>
      <c r="U7" s="103">
        <v>0</v>
      </c>
      <c r="V7" s="103">
        <v>0</v>
      </c>
      <c r="W7" s="69"/>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row>
    <row r="8" spans="1:66" s="10" customFormat="1" x14ac:dyDescent="0.2">
      <c r="A8" s="153"/>
      <c r="B8" s="19"/>
      <c r="C8" s="171" t="s">
        <v>42</v>
      </c>
      <c r="D8" s="104">
        <v>0</v>
      </c>
      <c r="E8" s="104">
        <v>0</v>
      </c>
      <c r="F8" s="104">
        <v>0</v>
      </c>
      <c r="G8" s="104">
        <v>0</v>
      </c>
      <c r="H8" s="104">
        <v>0</v>
      </c>
      <c r="I8" s="111">
        <f>+D8+E8-F8+G8-H8</f>
        <v>0</v>
      </c>
      <c r="J8" s="104">
        <v>0</v>
      </c>
      <c r="K8" s="104">
        <v>0</v>
      </c>
      <c r="L8" s="104">
        <v>0</v>
      </c>
      <c r="M8" s="104">
        <v>0</v>
      </c>
      <c r="N8" s="104">
        <v>0</v>
      </c>
      <c r="O8" s="104">
        <v>0</v>
      </c>
      <c r="P8" s="104">
        <v>0</v>
      </c>
      <c r="Q8" s="104">
        <v>0</v>
      </c>
      <c r="R8" s="104">
        <v>0</v>
      </c>
      <c r="S8" s="104">
        <v>0</v>
      </c>
      <c r="T8" s="104">
        <v>0</v>
      </c>
      <c r="U8" s="104">
        <v>0</v>
      </c>
      <c r="V8" s="104">
        <v>0</v>
      </c>
      <c r="W8" s="66"/>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row>
    <row r="9" spans="1:66" s="11" customFormat="1" x14ac:dyDescent="0.2">
      <c r="A9" s="155"/>
      <c r="B9" s="13">
        <v>2</v>
      </c>
      <c r="C9" s="169" t="s">
        <v>8</v>
      </c>
      <c r="D9" s="102">
        <f>D10</f>
        <v>101909465820.87</v>
      </c>
      <c r="E9" s="102">
        <f>E10</f>
        <v>0</v>
      </c>
      <c r="F9" s="102">
        <f>F10</f>
        <v>0</v>
      </c>
      <c r="G9" s="102">
        <f>G10</f>
        <v>0</v>
      </c>
      <c r="H9" s="102">
        <f>H10</f>
        <v>0</v>
      </c>
      <c r="I9" s="102">
        <f>D9+E9-F9+G9-H9</f>
        <v>101909465820.87</v>
      </c>
      <c r="J9" s="102">
        <f>J10</f>
        <v>0</v>
      </c>
      <c r="K9" s="102">
        <f t="shared" ref="K9:V11" si="1">K10</f>
        <v>0</v>
      </c>
      <c r="L9" s="102">
        <f t="shared" si="1"/>
        <v>0</v>
      </c>
      <c r="M9" s="102">
        <f t="shared" si="1"/>
        <v>0</v>
      </c>
      <c r="N9" s="102">
        <f t="shared" si="1"/>
        <v>0</v>
      </c>
      <c r="O9" s="102">
        <f t="shared" si="1"/>
        <v>0</v>
      </c>
      <c r="P9" s="102">
        <f t="shared" si="1"/>
        <v>0</v>
      </c>
      <c r="Q9" s="102">
        <f t="shared" si="1"/>
        <v>0</v>
      </c>
      <c r="R9" s="102">
        <f t="shared" si="1"/>
        <v>0</v>
      </c>
      <c r="S9" s="102">
        <f t="shared" si="1"/>
        <v>0</v>
      </c>
      <c r="T9" s="102">
        <f t="shared" si="1"/>
        <v>0</v>
      </c>
      <c r="U9" s="102">
        <f t="shared" si="1"/>
        <v>0</v>
      </c>
      <c r="V9" s="102">
        <f t="shared" si="1"/>
        <v>0</v>
      </c>
      <c r="W9" s="64"/>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row>
    <row r="10" spans="1:66" s="15" customFormat="1" x14ac:dyDescent="0.2">
      <c r="A10" s="2"/>
      <c r="B10" s="4"/>
      <c r="C10" s="172" t="s">
        <v>9</v>
      </c>
      <c r="D10" s="105">
        <f>D11</f>
        <v>101909465820.87</v>
      </c>
      <c r="E10" s="106">
        <v>0</v>
      </c>
      <c r="F10" s="106">
        <v>0</v>
      </c>
      <c r="G10" s="106">
        <v>0</v>
      </c>
      <c r="H10" s="106">
        <v>0</v>
      </c>
      <c r="I10" s="102">
        <f>D10+E10-F10+G10-H10</f>
        <v>101909465820.87</v>
      </c>
      <c r="J10" s="105">
        <f>J11</f>
        <v>0</v>
      </c>
      <c r="K10" s="105">
        <f t="shared" si="1"/>
        <v>0</v>
      </c>
      <c r="L10" s="105">
        <f t="shared" si="1"/>
        <v>0</v>
      </c>
      <c r="M10" s="105">
        <f t="shared" si="1"/>
        <v>0</v>
      </c>
      <c r="N10" s="105">
        <f t="shared" si="1"/>
        <v>0</v>
      </c>
      <c r="O10" s="105">
        <f t="shared" si="1"/>
        <v>0</v>
      </c>
      <c r="P10" s="105">
        <f t="shared" si="1"/>
        <v>0</v>
      </c>
      <c r="Q10" s="105">
        <f t="shared" si="1"/>
        <v>0</v>
      </c>
      <c r="R10" s="105">
        <f t="shared" si="1"/>
        <v>0</v>
      </c>
      <c r="S10" s="105">
        <f t="shared" si="1"/>
        <v>0</v>
      </c>
      <c r="T10" s="105">
        <f t="shared" si="1"/>
        <v>0</v>
      </c>
      <c r="U10" s="105">
        <f t="shared" si="1"/>
        <v>0</v>
      </c>
      <c r="V10" s="105">
        <f t="shared" si="1"/>
        <v>0</v>
      </c>
      <c r="W10" s="64"/>
    </row>
    <row r="11" spans="1:66" s="15" customFormat="1" x14ac:dyDescent="0.2">
      <c r="A11" s="2"/>
      <c r="B11" s="4" t="s">
        <v>47</v>
      </c>
      <c r="C11" s="172" t="s">
        <v>48</v>
      </c>
      <c r="D11" s="105">
        <f>D12</f>
        <v>101909465820.87</v>
      </c>
      <c r="E11" s="106">
        <v>0</v>
      </c>
      <c r="F11" s="106">
        <v>0</v>
      </c>
      <c r="G11" s="106">
        <v>0</v>
      </c>
      <c r="H11" s="106">
        <v>0</v>
      </c>
      <c r="I11" s="102">
        <f>D11+E11-F11+G11-H11</f>
        <v>101909465820.87</v>
      </c>
      <c r="J11" s="105">
        <f>J12</f>
        <v>0</v>
      </c>
      <c r="K11" s="105">
        <f t="shared" si="1"/>
        <v>0</v>
      </c>
      <c r="L11" s="105">
        <f t="shared" si="1"/>
        <v>0</v>
      </c>
      <c r="M11" s="105">
        <f t="shared" si="1"/>
        <v>0</v>
      </c>
      <c r="N11" s="105">
        <f t="shared" si="1"/>
        <v>0</v>
      </c>
      <c r="O11" s="105">
        <f t="shared" si="1"/>
        <v>0</v>
      </c>
      <c r="P11" s="105">
        <f t="shared" si="1"/>
        <v>0</v>
      </c>
      <c r="Q11" s="105">
        <f t="shared" si="1"/>
        <v>0</v>
      </c>
      <c r="R11" s="105">
        <f t="shared" si="1"/>
        <v>0</v>
      </c>
      <c r="S11" s="105">
        <f t="shared" si="1"/>
        <v>0</v>
      </c>
      <c r="T11" s="105">
        <f t="shared" si="1"/>
        <v>0</v>
      </c>
      <c r="U11" s="105">
        <f t="shared" si="1"/>
        <v>0</v>
      </c>
      <c r="V11" s="105">
        <f t="shared" si="1"/>
        <v>0</v>
      </c>
      <c r="W11" s="64"/>
    </row>
    <row r="12" spans="1:66" s="15" customFormat="1" x14ac:dyDescent="0.2">
      <c r="A12" s="2"/>
      <c r="B12" s="4" t="s">
        <v>49</v>
      </c>
      <c r="C12" s="172" t="s">
        <v>50</v>
      </c>
      <c r="D12" s="105">
        <f>D13+D14+D15+D16+D17+D18+D19+D20+D21+D22</f>
        <v>101909465820.87</v>
      </c>
      <c r="E12" s="106">
        <v>0</v>
      </c>
      <c r="F12" s="106">
        <v>0</v>
      </c>
      <c r="G12" s="106">
        <v>0</v>
      </c>
      <c r="H12" s="106">
        <v>0</v>
      </c>
      <c r="I12" s="102">
        <f>D12+E12-F12+G12-H12</f>
        <v>101909465820.87</v>
      </c>
      <c r="J12" s="105">
        <f>J13+J14+J15+J16+J17+J18+J19+J20+J21+J22</f>
        <v>0</v>
      </c>
      <c r="K12" s="105">
        <f t="shared" ref="K12:V12" si="2">K13+K14+K15+K16+K17+K18+K19+K20+K21+K22</f>
        <v>0</v>
      </c>
      <c r="L12" s="105">
        <f t="shared" si="2"/>
        <v>0</v>
      </c>
      <c r="M12" s="105">
        <f t="shared" si="2"/>
        <v>0</v>
      </c>
      <c r="N12" s="105">
        <f t="shared" si="2"/>
        <v>0</v>
      </c>
      <c r="O12" s="105">
        <f t="shared" si="2"/>
        <v>0</v>
      </c>
      <c r="P12" s="105">
        <f t="shared" si="2"/>
        <v>0</v>
      </c>
      <c r="Q12" s="105">
        <f t="shared" si="2"/>
        <v>0</v>
      </c>
      <c r="R12" s="105">
        <f t="shared" si="2"/>
        <v>0</v>
      </c>
      <c r="S12" s="105">
        <f t="shared" si="2"/>
        <v>0</v>
      </c>
      <c r="T12" s="105">
        <f t="shared" si="2"/>
        <v>0</v>
      </c>
      <c r="U12" s="105">
        <f t="shared" si="2"/>
        <v>0</v>
      </c>
      <c r="V12" s="105">
        <f t="shared" si="2"/>
        <v>0</v>
      </c>
      <c r="W12" s="64"/>
    </row>
    <row r="13" spans="1:66" s="12" customFormat="1" x14ac:dyDescent="0.2">
      <c r="A13" s="154"/>
      <c r="B13" s="20" t="s">
        <v>128</v>
      </c>
      <c r="C13" s="173" t="s">
        <v>15</v>
      </c>
      <c r="D13" s="106">
        <v>1545629792.9000001</v>
      </c>
      <c r="E13" s="106">
        <v>0</v>
      </c>
      <c r="F13" s="106">
        <v>0</v>
      </c>
      <c r="G13" s="106">
        <v>0</v>
      </c>
      <c r="H13" s="106">
        <v>0</v>
      </c>
      <c r="I13" s="80">
        <f>D13+E13-F13+G13-H13</f>
        <v>1545629792.9000001</v>
      </c>
      <c r="J13" s="104">
        <f>J52+J53+J56+J60+J62+J66+J69</f>
        <v>0</v>
      </c>
      <c r="K13" s="104">
        <f t="shared" ref="K13:V13" si="3">K52+K53+K56+K60+K62+K66+K69</f>
        <v>0</v>
      </c>
      <c r="L13" s="104">
        <f t="shared" si="3"/>
        <v>0</v>
      </c>
      <c r="M13" s="104">
        <f t="shared" si="3"/>
        <v>0</v>
      </c>
      <c r="N13" s="104">
        <f t="shared" si="3"/>
        <v>0</v>
      </c>
      <c r="O13" s="104">
        <f t="shared" si="3"/>
        <v>0</v>
      </c>
      <c r="P13" s="104">
        <f t="shared" si="3"/>
        <v>0</v>
      </c>
      <c r="Q13" s="104">
        <f t="shared" si="3"/>
        <v>0</v>
      </c>
      <c r="R13" s="104">
        <f t="shared" si="3"/>
        <v>0</v>
      </c>
      <c r="S13" s="104">
        <f t="shared" si="3"/>
        <v>0</v>
      </c>
      <c r="T13" s="104">
        <f t="shared" si="3"/>
        <v>0</v>
      </c>
      <c r="U13" s="104">
        <f t="shared" si="3"/>
        <v>0</v>
      </c>
      <c r="V13" s="104">
        <f t="shared" si="3"/>
        <v>0</v>
      </c>
      <c r="W13" s="64"/>
    </row>
    <row r="14" spans="1:66" s="12" customFormat="1" x14ac:dyDescent="0.2">
      <c r="A14" s="154"/>
      <c r="B14" s="20" t="s">
        <v>129</v>
      </c>
      <c r="C14" s="173" t="s">
        <v>15</v>
      </c>
      <c r="D14" s="106">
        <v>10223000000</v>
      </c>
      <c r="E14" s="106">
        <v>0</v>
      </c>
      <c r="F14" s="106">
        <v>0</v>
      </c>
      <c r="G14" s="106">
        <v>0</v>
      </c>
      <c r="H14" s="106">
        <v>0</v>
      </c>
      <c r="I14" s="80">
        <f t="shared" ref="I14:I22" si="4">D14+E14-F14+G14-H14</f>
        <v>10223000000</v>
      </c>
      <c r="J14" s="106">
        <v>0</v>
      </c>
      <c r="K14" s="83">
        <v>0</v>
      </c>
      <c r="L14" s="83">
        <v>0</v>
      </c>
      <c r="M14" s="83">
        <v>0</v>
      </c>
      <c r="N14" s="83">
        <v>0</v>
      </c>
      <c r="O14" s="83">
        <v>0</v>
      </c>
      <c r="P14" s="83">
        <v>0</v>
      </c>
      <c r="Q14" s="83">
        <v>0</v>
      </c>
      <c r="R14" s="83">
        <v>0</v>
      </c>
      <c r="S14" s="83">
        <v>0</v>
      </c>
      <c r="T14" s="83">
        <v>0</v>
      </c>
      <c r="U14" s="83">
        <v>0</v>
      </c>
      <c r="V14" s="83">
        <v>0</v>
      </c>
      <c r="W14" s="64"/>
    </row>
    <row r="15" spans="1:66" s="12" customFormat="1" x14ac:dyDescent="0.2">
      <c r="A15" s="154"/>
      <c r="B15" s="20" t="s">
        <v>157</v>
      </c>
      <c r="C15" s="173" t="s">
        <v>106</v>
      </c>
      <c r="D15" s="107">
        <v>6123229897.9700003</v>
      </c>
      <c r="E15" s="106">
        <v>0</v>
      </c>
      <c r="F15" s="106">
        <v>0</v>
      </c>
      <c r="G15" s="106">
        <v>0</v>
      </c>
      <c r="H15" s="106">
        <v>0</v>
      </c>
      <c r="I15" s="80">
        <f t="shared" si="4"/>
        <v>6123229897.9700003</v>
      </c>
      <c r="J15" s="106">
        <f>J92+J93+J95+J96</f>
        <v>0</v>
      </c>
      <c r="K15" s="106">
        <f t="shared" ref="K15:V15" si="5">K92+K93+K95+K96</f>
        <v>0</v>
      </c>
      <c r="L15" s="106">
        <f t="shared" si="5"/>
        <v>0</v>
      </c>
      <c r="M15" s="106">
        <f t="shared" si="5"/>
        <v>0</v>
      </c>
      <c r="N15" s="106">
        <f t="shared" si="5"/>
        <v>0</v>
      </c>
      <c r="O15" s="106">
        <f t="shared" si="5"/>
        <v>0</v>
      </c>
      <c r="P15" s="106">
        <f t="shared" si="5"/>
        <v>0</v>
      </c>
      <c r="Q15" s="106">
        <f t="shared" si="5"/>
        <v>0</v>
      </c>
      <c r="R15" s="106">
        <f t="shared" si="5"/>
        <v>0</v>
      </c>
      <c r="S15" s="106">
        <f t="shared" si="5"/>
        <v>0</v>
      </c>
      <c r="T15" s="106">
        <f t="shared" si="5"/>
        <v>0</v>
      </c>
      <c r="U15" s="106">
        <f t="shared" si="5"/>
        <v>0</v>
      </c>
      <c r="V15" s="106">
        <f t="shared" si="5"/>
        <v>0</v>
      </c>
      <c r="W15" s="64"/>
    </row>
    <row r="16" spans="1:66" s="12" customFormat="1" x14ac:dyDescent="0.2">
      <c r="A16" s="154"/>
      <c r="B16" s="94" t="s">
        <v>130</v>
      </c>
      <c r="C16" s="173" t="s">
        <v>106</v>
      </c>
      <c r="D16" s="108">
        <v>8248505682.5700006</v>
      </c>
      <c r="E16" s="106">
        <v>0</v>
      </c>
      <c r="F16" s="106">
        <v>0</v>
      </c>
      <c r="G16" s="106">
        <v>0</v>
      </c>
      <c r="H16" s="106">
        <v>0</v>
      </c>
      <c r="I16" s="80">
        <f t="shared" si="4"/>
        <v>8248505682.5700006</v>
      </c>
      <c r="J16" s="106">
        <f>J77+J78+J80+J86+J89</f>
        <v>0</v>
      </c>
      <c r="K16" s="106">
        <f t="shared" ref="K16:V16" si="6">K77+K78+K80+K86+K89</f>
        <v>0</v>
      </c>
      <c r="L16" s="106">
        <f t="shared" si="6"/>
        <v>0</v>
      </c>
      <c r="M16" s="106">
        <f t="shared" si="6"/>
        <v>0</v>
      </c>
      <c r="N16" s="106">
        <f t="shared" si="6"/>
        <v>0</v>
      </c>
      <c r="O16" s="106">
        <f t="shared" si="6"/>
        <v>0</v>
      </c>
      <c r="P16" s="106">
        <f t="shared" si="6"/>
        <v>0</v>
      </c>
      <c r="Q16" s="106">
        <f t="shared" si="6"/>
        <v>0</v>
      </c>
      <c r="R16" s="106">
        <f t="shared" si="6"/>
        <v>0</v>
      </c>
      <c r="S16" s="106">
        <f t="shared" si="6"/>
        <v>0</v>
      </c>
      <c r="T16" s="106">
        <f t="shared" si="6"/>
        <v>0</v>
      </c>
      <c r="U16" s="106">
        <f t="shared" si="6"/>
        <v>0</v>
      </c>
      <c r="V16" s="106">
        <f t="shared" si="6"/>
        <v>0</v>
      </c>
      <c r="W16" s="64"/>
    </row>
    <row r="17" spans="1:66" s="12" customFormat="1" x14ac:dyDescent="0.2">
      <c r="A17" s="154"/>
      <c r="B17" s="94" t="s">
        <v>131</v>
      </c>
      <c r="C17" s="173" t="s">
        <v>106</v>
      </c>
      <c r="D17" s="108">
        <v>3886862565</v>
      </c>
      <c r="E17" s="106">
        <v>0</v>
      </c>
      <c r="F17" s="106">
        <v>0</v>
      </c>
      <c r="G17" s="106">
        <v>0</v>
      </c>
      <c r="H17" s="106">
        <v>0</v>
      </c>
      <c r="I17" s="80">
        <f t="shared" si="4"/>
        <v>3886862565</v>
      </c>
      <c r="J17" s="106">
        <f>J108+J109</f>
        <v>0</v>
      </c>
      <c r="K17" s="106">
        <f t="shared" ref="K17:V17" si="7">K108+K109</f>
        <v>0</v>
      </c>
      <c r="L17" s="106">
        <f t="shared" si="7"/>
        <v>0</v>
      </c>
      <c r="M17" s="106">
        <f t="shared" si="7"/>
        <v>0</v>
      </c>
      <c r="N17" s="106">
        <f t="shared" si="7"/>
        <v>0</v>
      </c>
      <c r="O17" s="106">
        <f t="shared" si="7"/>
        <v>0</v>
      </c>
      <c r="P17" s="106">
        <f t="shared" si="7"/>
        <v>0</v>
      </c>
      <c r="Q17" s="106">
        <f t="shared" si="7"/>
        <v>0</v>
      </c>
      <c r="R17" s="106">
        <f t="shared" si="7"/>
        <v>0</v>
      </c>
      <c r="S17" s="106">
        <f t="shared" si="7"/>
        <v>0</v>
      </c>
      <c r="T17" s="106">
        <f t="shared" si="7"/>
        <v>0</v>
      </c>
      <c r="U17" s="106">
        <f t="shared" si="7"/>
        <v>0</v>
      </c>
      <c r="V17" s="106">
        <f t="shared" si="7"/>
        <v>0</v>
      </c>
      <c r="W17" s="64"/>
    </row>
    <row r="18" spans="1:66" s="12" customFormat="1" x14ac:dyDescent="0.2">
      <c r="A18" s="154"/>
      <c r="B18" s="140" t="s">
        <v>132</v>
      </c>
      <c r="C18" s="173" t="s">
        <v>106</v>
      </c>
      <c r="D18" s="107">
        <v>1500000000</v>
      </c>
      <c r="E18" s="106">
        <v>0</v>
      </c>
      <c r="F18" s="106">
        <v>0</v>
      </c>
      <c r="G18" s="106">
        <v>0</v>
      </c>
      <c r="H18" s="106">
        <v>0</v>
      </c>
      <c r="I18" s="80">
        <f t="shared" si="4"/>
        <v>1500000000</v>
      </c>
      <c r="J18" s="106">
        <f>J99+J100</f>
        <v>0</v>
      </c>
      <c r="K18" s="106">
        <f t="shared" ref="K18:V18" si="8">K99+K100</f>
        <v>0</v>
      </c>
      <c r="L18" s="106">
        <f t="shared" si="8"/>
        <v>0</v>
      </c>
      <c r="M18" s="106">
        <f t="shared" si="8"/>
        <v>0</v>
      </c>
      <c r="N18" s="106">
        <f t="shared" si="8"/>
        <v>0</v>
      </c>
      <c r="O18" s="106">
        <f t="shared" si="8"/>
        <v>0</v>
      </c>
      <c r="P18" s="106">
        <f t="shared" si="8"/>
        <v>0</v>
      </c>
      <c r="Q18" s="106">
        <f t="shared" si="8"/>
        <v>0</v>
      </c>
      <c r="R18" s="106">
        <f t="shared" si="8"/>
        <v>0</v>
      </c>
      <c r="S18" s="106">
        <f t="shared" si="8"/>
        <v>0</v>
      </c>
      <c r="T18" s="106">
        <f t="shared" si="8"/>
        <v>0</v>
      </c>
      <c r="U18" s="106">
        <f t="shared" si="8"/>
        <v>0</v>
      </c>
      <c r="V18" s="106">
        <f t="shared" si="8"/>
        <v>0</v>
      </c>
      <c r="W18" s="64"/>
    </row>
    <row r="19" spans="1:66" s="12" customFormat="1" x14ac:dyDescent="0.2">
      <c r="A19" s="154"/>
      <c r="B19" s="142" t="s">
        <v>133</v>
      </c>
      <c r="C19" s="173" t="s">
        <v>106</v>
      </c>
      <c r="D19" s="143">
        <v>16356154691.43</v>
      </c>
      <c r="E19" s="106">
        <v>0</v>
      </c>
      <c r="F19" s="106">
        <v>0</v>
      </c>
      <c r="G19" s="106">
        <v>0</v>
      </c>
      <c r="H19" s="106">
        <v>0</v>
      </c>
      <c r="I19" s="144">
        <f>D19+E19-F19+G19-H19</f>
        <v>16356154691.43</v>
      </c>
      <c r="J19" s="145">
        <f>J99+J100</f>
        <v>0</v>
      </c>
      <c r="K19" s="145">
        <f t="shared" ref="K19:V19" si="9">K99+K100</f>
        <v>0</v>
      </c>
      <c r="L19" s="145">
        <f t="shared" si="9"/>
        <v>0</v>
      </c>
      <c r="M19" s="145">
        <f t="shared" si="9"/>
        <v>0</v>
      </c>
      <c r="N19" s="145">
        <f t="shared" si="9"/>
        <v>0</v>
      </c>
      <c r="O19" s="145">
        <f t="shared" si="9"/>
        <v>0</v>
      </c>
      <c r="P19" s="145">
        <f t="shared" si="9"/>
        <v>0</v>
      </c>
      <c r="Q19" s="145">
        <f t="shared" si="9"/>
        <v>0</v>
      </c>
      <c r="R19" s="145">
        <f t="shared" si="9"/>
        <v>0</v>
      </c>
      <c r="S19" s="145">
        <f t="shared" si="9"/>
        <v>0</v>
      </c>
      <c r="T19" s="145">
        <f t="shared" si="9"/>
        <v>0</v>
      </c>
      <c r="U19" s="145">
        <f t="shared" si="9"/>
        <v>0</v>
      </c>
      <c r="V19" s="145">
        <f t="shared" si="9"/>
        <v>0</v>
      </c>
      <c r="W19" s="64"/>
    </row>
    <row r="20" spans="1:66" s="12" customFormat="1" x14ac:dyDescent="0.2">
      <c r="A20" s="154"/>
      <c r="B20" s="94" t="s">
        <v>203</v>
      </c>
      <c r="C20" s="173" t="s">
        <v>106</v>
      </c>
      <c r="D20" s="107">
        <v>200000000</v>
      </c>
      <c r="E20" s="106"/>
      <c r="F20" s="106"/>
      <c r="G20" s="106"/>
      <c r="H20" s="106"/>
      <c r="I20" s="80">
        <f>D20+E20-F20+G20-H20</f>
        <v>200000000</v>
      </c>
      <c r="J20" s="106">
        <f>J101</f>
        <v>0</v>
      </c>
      <c r="K20" s="106">
        <f t="shared" ref="K20:V20" si="10">K101</f>
        <v>0</v>
      </c>
      <c r="L20" s="106">
        <f t="shared" si="10"/>
        <v>0</v>
      </c>
      <c r="M20" s="106">
        <f t="shared" si="10"/>
        <v>0</v>
      </c>
      <c r="N20" s="106">
        <f t="shared" si="10"/>
        <v>0</v>
      </c>
      <c r="O20" s="106">
        <f t="shared" si="10"/>
        <v>0</v>
      </c>
      <c r="P20" s="106">
        <f t="shared" si="10"/>
        <v>0</v>
      </c>
      <c r="Q20" s="106">
        <f t="shared" si="10"/>
        <v>0</v>
      </c>
      <c r="R20" s="106">
        <f t="shared" si="10"/>
        <v>0</v>
      </c>
      <c r="S20" s="106">
        <f t="shared" si="10"/>
        <v>0</v>
      </c>
      <c r="T20" s="106">
        <f t="shared" si="10"/>
        <v>0</v>
      </c>
      <c r="U20" s="106">
        <f t="shared" si="10"/>
        <v>0</v>
      </c>
      <c r="V20" s="106">
        <f t="shared" si="10"/>
        <v>0</v>
      </c>
      <c r="W20" s="64"/>
    </row>
    <row r="21" spans="1:66" s="12" customFormat="1" x14ac:dyDescent="0.2">
      <c r="A21" s="154"/>
      <c r="B21" s="140" t="s">
        <v>134</v>
      </c>
      <c r="C21" s="173" t="s">
        <v>106</v>
      </c>
      <c r="D21" s="109">
        <v>21000000000</v>
      </c>
      <c r="E21" s="106">
        <v>0</v>
      </c>
      <c r="F21" s="106">
        <v>0</v>
      </c>
      <c r="G21" s="106">
        <v>0</v>
      </c>
      <c r="H21" s="106">
        <v>0</v>
      </c>
      <c r="I21" s="139">
        <f t="shared" si="4"/>
        <v>21000000000</v>
      </c>
      <c r="J21" s="106">
        <f>J103</f>
        <v>0</v>
      </c>
      <c r="K21" s="106">
        <f t="shared" ref="K21:V21" si="11">K103</f>
        <v>0</v>
      </c>
      <c r="L21" s="106">
        <f t="shared" si="11"/>
        <v>0</v>
      </c>
      <c r="M21" s="106">
        <f t="shared" si="11"/>
        <v>0</v>
      </c>
      <c r="N21" s="106">
        <f t="shared" si="11"/>
        <v>0</v>
      </c>
      <c r="O21" s="106">
        <f t="shared" si="11"/>
        <v>0</v>
      </c>
      <c r="P21" s="106">
        <f t="shared" si="11"/>
        <v>0</v>
      </c>
      <c r="Q21" s="106">
        <f t="shared" si="11"/>
        <v>0</v>
      </c>
      <c r="R21" s="106">
        <f t="shared" si="11"/>
        <v>0</v>
      </c>
      <c r="S21" s="106">
        <f t="shared" si="11"/>
        <v>0</v>
      </c>
      <c r="T21" s="106">
        <f t="shared" si="11"/>
        <v>0</v>
      </c>
      <c r="U21" s="106">
        <f t="shared" si="11"/>
        <v>0</v>
      </c>
      <c r="V21" s="106">
        <f t="shared" si="11"/>
        <v>0</v>
      </c>
      <c r="W21" s="64"/>
    </row>
    <row r="22" spans="1:66" s="12" customFormat="1" x14ac:dyDescent="0.2">
      <c r="A22" s="154"/>
      <c r="B22" s="94" t="s">
        <v>200</v>
      </c>
      <c r="C22" s="173" t="s">
        <v>106</v>
      </c>
      <c r="D22" s="107">
        <v>32826083191</v>
      </c>
      <c r="E22" s="106">
        <v>0</v>
      </c>
      <c r="F22" s="106">
        <v>0</v>
      </c>
      <c r="G22" s="106">
        <v>0</v>
      </c>
      <c r="H22" s="106">
        <v>0</v>
      </c>
      <c r="I22" s="80">
        <f t="shared" si="4"/>
        <v>32826083191</v>
      </c>
      <c r="J22" s="106">
        <v>0</v>
      </c>
      <c r="K22" s="106">
        <v>0</v>
      </c>
      <c r="L22" s="106">
        <v>0</v>
      </c>
      <c r="M22" s="106">
        <v>0</v>
      </c>
      <c r="N22" s="106">
        <v>0</v>
      </c>
      <c r="O22" s="106">
        <v>0</v>
      </c>
      <c r="P22" s="106">
        <v>0</v>
      </c>
      <c r="Q22" s="106">
        <v>0</v>
      </c>
      <c r="R22" s="106">
        <v>0</v>
      </c>
      <c r="S22" s="106">
        <v>0</v>
      </c>
      <c r="T22" s="106">
        <v>0</v>
      </c>
      <c r="U22" s="106">
        <v>0</v>
      </c>
      <c r="V22" s="106">
        <v>0</v>
      </c>
      <c r="W22" s="64"/>
    </row>
    <row r="23" spans="1:66" s="15" customFormat="1" x14ac:dyDescent="0.2">
      <c r="A23" s="2"/>
      <c r="B23" s="4"/>
      <c r="C23" s="172" t="s">
        <v>10</v>
      </c>
      <c r="D23" s="105"/>
      <c r="E23" s="105">
        <v>0</v>
      </c>
      <c r="F23" s="105">
        <v>0</v>
      </c>
      <c r="G23" s="105">
        <v>0</v>
      </c>
      <c r="H23" s="105">
        <v>0</v>
      </c>
      <c r="I23" s="111">
        <f>+D23+E23-F23+G23-H23</f>
        <v>0</v>
      </c>
      <c r="J23" s="105">
        <v>0</v>
      </c>
      <c r="K23" s="105">
        <v>0</v>
      </c>
      <c r="L23" s="105">
        <v>0</v>
      </c>
      <c r="M23" s="105">
        <v>0</v>
      </c>
      <c r="N23" s="105">
        <v>0</v>
      </c>
      <c r="O23" s="105">
        <v>0</v>
      </c>
      <c r="P23" s="105">
        <v>0</v>
      </c>
      <c r="Q23" s="105">
        <v>0</v>
      </c>
      <c r="R23" s="105">
        <v>0</v>
      </c>
      <c r="S23" s="105">
        <v>0</v>
      </c>
      <c r="T23" s="105">
        <v>0</v>
      </c>
      <c r="U23" s="105">
        <v>0</v>
      </c>
      <c r="V23" s="105">
        <v>0</v>
      </c>
      <c r="W23" s="64"/>
    </row>
    <row r="24" spans="1:66" s="11" customFormat="1" x14ac:dyDescent="0.2">
      <c r="A24" s="155"/>
      <c r="B24" s="14">
        <v>3</v>
      </c>
      <c r="C24" s="169" t="s">
        <v>11</v>
      </c>
      <c r="D24" s="102">
        <f>+D25</f>
        <v>0</v>
      </c>
      <c r="E24" s="102">
        <f>+E25+E26+E27</f>
        <v>0</v>
      </c>
      <c r="F24" s="102">
        <f>+F25+F26+F27</f>
        <v>0</v>
      </c>
      <c r="G24" s="102">
        <v>0</v>
      </c>
      <c r="H24" s="102">
        <v>0</v>
      </c>
      <c r="I24" s="111">
        <f>+D24+E24-F24+G24-H24</f>
        <v>0</v>
      </c>
      <c r="J24" s="102">
        <f t="shared" ref="J24:U24" si="12">+J25+J26+J27</f>
        <v>0</v>
      </c>
      <c r="K24" s="102">
        <f t="shared" ref="K24:V24" si="13">+K25+K26+K27</f>
        <v>0</v>
      </c>
      <c r="L24" s="102">
        <f t="shared" si="13"/>
        <v>0</v>
      </c>
      <c r="M24" s="102">
        <f t="shared" si="13"/>
        <v>0</v>
      </c>
      <c r="N24" s="102">
        <f t="shared" si="13"/>
        <v>0</v>
      </c>
      <c r="O24" s="102">
        <f t="shared" si="13"/>
        <v>0</v>
      </c>
      <c r="P24" s="102">
        <f t="shared" si="13"/>
        <v>0</v>
      </c>
      <c r="Q24" s="102">
        <f t="shared" si="13"/>
        <v>0</v>
      </c>
      <c r="R24" s="102">
        <f t="shared" si="13"/>
        <v>0</v>
      </c>
      <c r="S24" s="102">
        <f t="shared" si="13"/>
        <v>0</v>
      </c>
      <c r="T24" s="102">
        <f t="shared" si="13"/>
        <v>0</v>
      </c>
      <c r="U24" s="102">
        <f t="shared" si="13"/>
        <v>0</v>
      </c>
      <c r="V24" s="102">
        <f t="shared" si="13"/>
        <v>0</v>
      </c>
      <c r="W24" s="64"/>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row>
    <row r="25" spans="1:66" s="11" customFormat="1" x14ac:dyDescent="0.2">
      <c r="A25" s="155"/>
      <c r="B25" s="13"/>
      <c r="C25" s="169" t="s">
        <v>12</v>
      </c>
      <c r="D25" s="102">
        <v>0</v>
      </c>
      <c r="E25" s="102">
        <v>0</v>
      </c>
      <c r="F25" s="102">
        <v>0</v>
      </c>
      <c r="G25" s="102">
        <v>0</v>
      </c>
      <c r="H25" s="102">
        <v>0</v>
      </c>
      <c r="I25" s="111">
        <f>+D25+E25-F25+G25-H25</f>
        <v>0</v>
      </c>
      <c r="J25" s="102">
        <v>0</v>
      </c>
      <c r="K25" s="83">
        <v>0</v>
      </c>
      <c r="L25" s="83">
        <v>0</v>
      </c>
      <c r="M25" s="83">
        <v>0</v>
      </c>
      <c r="N25" s="83">
        <v>0</v>
      </c>
      <c r="O25" s="83">
        <v>0</v>
      </c>
      <c r="P25" s="83">
        <v>0</v>
      </c>
      <c r="Q25" s="83">
        <v>0</v>
      </c>
      <c r="R25" s="83">
        <v>0</v>
      </c>
      <c r="S25" s="83">
        <v>0</v>
      </c>
      <c r="T25" s="83">
        <v>0</v>
      </c>
      <c r="U25" s="83">
        <v>0</v>
      </c>
      <c r="V25" s="83">
        <v>0</v>
      </c>
      <c r="W25" s="64"/>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row>
    <row r="26" spans="1:66" s="15" customFormat="1" x14ac:dyDescent="0.2">
      <c r="A26" s="2"/>
      <c r="B26" s="4"/>
      <c r="C26" s="172" t="s">
        <v>13</v>
      </c>
      <c r="D26" s="105">
        <v>0</v>
      </c>
      <c r="E26" s="105">
        <v>0</v>
      </c>
      <c r="F26" s="105">
        <v>0</v>
      </c>
      <c r="G26" s="105">
        <v>0</v>
      </c>
      <c r="H26" s="105">
        <v>0</v>
      </c>
      <c r="I26" s="111">
        <f>+D26+E26-F26+G26-H26</f>
        <v>0</v>
      </c>
      <c r="J26" s="102"/>
      <c r="K26" s="102"/>
      <c r="L26" s="102"/>
      <c r="M26" s="102"/>
      <c r="N26" s="102"/>
      <c r="O26" s="102"/>
      <c r="P26" s="102"/>
      <c r="Q26" s="102"/>
      <c r="R26" s="102"/>
      <c r="S26" s="102"/>
      <c r="T26" s="102"/>
      <c r="U26" s="102"/>
      <c r="V26" s="102"/>
      <c r="W26" s="64"/>
    </row>
    <row r="27" spans="1:66" s="11" customFormat="1" x14ac:dyDescent="0.2">
      <c r="A27" s="155"/>
      <c r="B27" s="13"/>
      <c r="C27" s="169" t="s">
        <v>14</v>
      </c>
      <c r="D27" s="102">
        <v>0</v>
      </c>
      <c r="E27" s="102">
        <v>0</v>
      </c>
      <c r="F27" s="102">
        <v>0</v>
      </c>
      <c r="G27" s="102">
        <v>0</v>
      </c>
      <c r="H27" s="102">
        <v>0</v>
      </c>
      <c r="I27" s="111">
        <f>+D27+E27-F27+G27-H27</f>
        <v>0</v>
      </c>
      <c r="J27" s="102"/>
      <c r="K27" s="102"/>
      <c r="L27" s="102"/>
      <c r="M27" s="102"/>
      <c r="N27" s="102"/>
      <c r="O27" s="102"/>
      <c r="P27" s="102"/>
      <c r="Q27" s="102"/>
      <c r="R27" s="102"/>
      <c r="S27" s="102"/>
      <c r="T27" s="102"/>
      <c r="U27" s="102"/>
      <c r="V27" s="102"/>
      <c r="W27" s="64"/>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row>
    <row r="28" spans="1:66" s="22" customFormat="1" x14ac:dyDescent="0.2">
      <c r="A28" s="156"/>
      <c r="B28" s="21" t="s">
        <v>34</v>
      </c>
      <c r="C28" s="174" t="s">
        <v>33</v>
      </c>
      <c r="D28" s="110">
        <f>D5+D9+D24</f>
        <v>192551188108.51001</v>
      </c>
      <c r="E28" s="110">
        <f t="shared" ref="E28:V28" si="14">+E5+E9+E24</f>
        <v>0</v>
      </c>
      <c r="F28" s="110">
        <f t="shared" si="14"/>
        <v>0</v>
      </c>
      <c r="G28" s="110">
        <f t="shared" si="14"/>
        <v>0</v>
      </c>
      <c r="H28" s="110">
        <f t="shared" si="14"/>
        <v>0</v>
      </c>
      <c r="I28" s="110">
        <f t="shared" si="14"/>
        <v>192551188108.51001</v>
      </c>
      <c r="J28" s="110">
        <f t="shared" si="14"/>
        <v>0</v>
      </c>
      <c r="K28" s="110">
        <f t="shared" ref="K28:V28" si="15">+K5+K9+K24</f>
        <v>0</v>
      </c>
      <c r="L28" s="110">
        <f t="shared" si="15"/>
        <v>0</v>
      </c>
      <c r="M28" s="110">
        <f t="shared" si="15"/>
        <v>0</v>
      </c>
      <c r="N28" s="110">
        <f t="shared" si="15"/>
        <v>0</v>
      </c>
      <c r="O28" s="110">
        <f t="shared" si="15"/>
        <v>0</v>
      </c>
      <c r="P28" s="110">
        <f t="shared" si="15"/>
        <v>0</v>
      </c>
      <c r="Q28" s="110">
        <f t="shared" si="15"/>
        <v>0</v>
      </c>
      <c r="R28" s="110">
        <f t="shared" si="15"/>
        <v>0</v>
      </c>
      <c r="S28" s="110">
        <f t="shared" si="15"/>
        <v>0</v>
      </c>
      <c r="T28" s="110">
        <f t="shared" si="15"/>
        <v>0</v>
      </c>
      <c r="U28" s="110">
        <f t="shared" si="15"/>
        <v>0</v>
      </c>
      <c r="V28" s="110">
        <f t="shared" si="15"/>
        <v>0</v>
      </c>
      <c r="W28" s="64"/>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row>
    <row r="29" spans="1:66" s="2" customFormat="1" x14ac:dyDescent="0.2">
      <c r="B29" s="4">
        <v>1</v>
      </c>
      <c r="C29" s="172" t="s">
        <v>38</v>
      </c>
      <c r="D29" s="105">
        <f t="shared" ref="D29:H29" si="16">+D30+D74</f>
        <v>101909465820.87221</v>
      </c>
      <c r="E29" s="105">
        <f t="shared" si="16"/>
        <v>0</v>
      </c>
      <c r="F29" s="105">
        <f t="shared" si="16"/>
        <v>0</v>
      </c>
      <c r="G29" s="105">
        <f t="shared" si="16"/>
        <v>0</v>
      </c>
      <c r="H29" s="105">
        <f t="shared" si="16"/>
        <v>0</v>
      </c>
      <c r="I29" s="105">
        <f>+I30+I74</f>
        <v>101909465820.87221</v>
      </c>
      <c r="J29" s="105">
        <f t="shared" ref="J29:V29" si="17">+J30+J74</f>
        <v>0</v>
      </c>
      <c r="K29" s="105">
        <f t="shared" ref="K29" si="18">+K30+K74</f>
        <v>0</v>
      </c>
      <c r="L29" s="105">
        <f t="shared" ref="L29" si="19">+L30+L74</f>
        <v>0</v>
      </c>
      <c r="M29" s="105">
        <f t="shared" ref="M29" si="20">+M30+M74</f>
        <v>0</v>
      </c>
      <c r="N29" s="105">
        <f t="shared" ref="N29" si="21">+N30+N74</f>
        <v>0</v>
      </c>
      <c r="O29" s="105">
        <f t="shared" ref="O29" si="22">+O30+O74</f>
        <v>0</v>
      </c>
      <c r="P29" s="105">
        <f t="shared" ref="P29" si="23">+P30+P74</f>
        <v>0</v>
      </c>
      <c r="Q29" s="105">
        <f t="shared" ref="Q29" si="24">+Q30+Q74</f>
        <v>0</v>
      </c>
      <c r="R29" s="105">
        <f t="shared" ref="R29" si="25">+R30+R74</f>
        <v>0</v>
      </c>
      <c r="S29" s="105">
        <f t="shared" ref="S29" si="26">+S30+S74</f>
        <v>0</v>
      </c>
      <c r="T29" s="105">
        <f t="shared" ref="T29" si="27">+T30+T74</f>
        <v>0</v>
      </c>
      <c r="U29" s="105">
        <f t="shared" ref="U29" si="28">+U30+U74</f>
        <v>0</v>
      </c>
      <c r="V29" s="105">
        <f t="shared" ref="V29" si="29">+V30+V74</f>
        <v>0</v>
      </c>
      <c r="W29" s="64"/>
    </row>
    <row r="30" spans="1:66" s="11" customFormat="1" x14ac:dyDescent="0.2">
      <c r="A30" s="155"/>
      <c r="B30" s="13" t="s">
        <v>59</v>
      </c>
      <c r="C30" s="169" t="s">
        <v>15</v>
      </c>
      <c r="D30" s="111">
        <f>+D31+D38+D46+D49+D65+D67+D71+0.01</f>
        <v>11768629792.902225</v>
      </c>
      <c r="E30" s="111">
        <f>+E31+E38+E46+E49+E65+E67+E71</f>
        <v>0</v>
      </c>
      <c r="F30" s="111">
        <f>+F31+F38+F46+F49+F65+F67+F71</f>
        <v>0</v>
      </c>
      <c r="G30" s="111">
        <f>+G31+G38+G46+G49+G65+G67+G71</f>
        <v>0</v>
      </c>
      <c r="H30" s="111">
        <f>+H31+H38+H46+H49+H65+H67+H71</f>
        <v>0</v>
      </c>
      <c r="I30" s="111">
        <f>+D30+E30-F30+G30-H30</f>
        <v>11768629792.902225</v>
      </c>
      <c r="J30" s="111">
        <f>+J31+J38+J46+J49+J65+J67</f>
        <v>0</v>
      </c>
      <c r="K30" s="111">
        <f t="shared" ref="K30:V30" si="30">+K31+K38+K46+K49+K65+K67</f>
        <v>0</v>
      </c>
      <c r="L30" s="111">
        <f t="shared" si="30"/>
        <v>0</v>
      </c>
      <c r="M30" s="111">
        <f t="shared" si="30"/>
        <v>0</v>
      </c>
      <c r="N30" s="111">
        <f t="shared" si="30"/>
        <v>0</v>
      </c>
      <c r="O30" s="111">
        <f t="shared" si="30"/>
        <v>0</v>
      </c>
      <c r="P30" s="111">
        <f t="shared" si="30"/>
        <v>0</v>
      </c>
      <c r="Q30" s="111">
        <f t="shared" si="30"/>
        <v>0</v>
      </c>
      <c r="R30" s="111">
        <f t="shared" si="30"/>
        <v>0</v>
      </c>
      <c r="S30" s="111">
        <f t="shared" si="30"/>
        <v>0</v>
      </c>
      <c r="T30" s="111">
        <f t="shared" si="30"/>
        <v>0</v>
      </c>
      <c r="U30" s="111">
        <f t="shared" si="30"/>
        <v>0</v>
      </c>
      <c r="V30" s="111">
        <f t="shared" si="30"/>
        <v>0</v>
      </c>
      <c r="W30" s="64"/>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row>
    <row r="31" spans="1:66" s="17" customFormat="1" x14ac:dyDescent="0.2">
      <c r="A31" s="154"/>
      <c r="B31" s="23" t="s">
        <v>68</v>
      </c>
      <c r="C31" s="5" t="s">
        <v>69</v>
      </c>
      <c r="D31" s="76">
        <f>SUM(D32:D37)</f>
        <v>5543330440.8199997</v>
      </c>
      <c r="E31" s="76">
        <f>SUM(E32:E37)</f>
        <v>0</v>
      </c>
      <c r="F31" s="76">
        <f>SUM(F32:F37)</f>
        <v>0</v>
      </c>
      <c r="G31" s="76">
        <f>SUM(G32:G37)</f>
        <v>0</v>
      </c>
      <c r="H31" s="76">
        <f>SUM(H32:H37)</f>
        <v>0</v>
      </c>
      <c r="I31" s="76">
        <f>+D31+E31-F31+G31-H31</f>
        <v>5543330440.8199997</v>
      </c>
      <c r="J31" s="76">
        <f>SUM(J32:J37)</f>
        <v>0</v>
      </c>
      <c r="K31" s="76">
        <f t="shared" ref="K31:V31" si="31">SUM(K32:K37)</f>
        <v>0</v>
      </c>
      <c r="L31" s="76">
        <f t="shared" si="31"/>
        <v>0</v>
      </c>
      <c r="M31" s="76">
        <f t="shared" si="31"/>
        <v>0</v>
      </c>
      <c r="N31" s="76">
        <f t="shared" si="31"/>
        <v>0</v>
      </c>
      <c r="O31" s="76">
        <f t="shared" si="31"/>
        <v>0</v>
      </c>
      <c r="P31" s="76">
        <f t="shared" si="31"/>
        <v>0</v>
      </c>
      <c r="Q31" s="76">
        <f t="shared" si="31"/>
        <v>0</v>
      </c>
      <c r="R31" s="76">
        <f t="shared" si="31"/>
        <v>0</v>
      </c>
      <c r="S31" s="76">
        <f t="shared" si="31"/>
        <v>0</v>
      </c>
      <c r="T31" s="76">
        <f t="shared" si="31"/>
        <v>0</v>
      </c>
      <c r="U31" s="76">
        <f t="shared" si="31"/>
        <v>0</v>
      </c>
      <c r="V31" s="76">
        <f t="shared" si="31"/>
        <v>0</v>
      </c>
      <c r="W31" s="64"/>
    </row>
    <row r="32" spans="1:66" s="17" customFormat="1" ht="13.5" x14ac:dyDescent="0.2">
      <c r="A32" s="154"/>
      <c r="B32" s="7" t="s">
        <v>70</v>
      </c>
      <c r="C32" s="175" t="s">
        <v>58</v>
      </c>
      <c r="D32" s="82">
        <v>4472092723</v>
      </c>
      <c r="E32" s="112">
        <v>0</v>
      </c>
      <c r="F32" s="79">
        <v>0</v>
      </c>
      <c r="G32" s="79">
        <v>0</v>
      </c>
      <c r="H32" s="79">
        <v>0</v>
      </c>
      <c r="I32" s="79">
        <f t="shared" ref="I32:I37" si="32">+D32+E32-F32+G32-H32</f>
        <v>4472092723</v>
      </c>
      <c r="J32" s="79">
        <v>0</v>
      </c>
      <c r="K32" s="79">
        <v>0</v>
      </c>
      <c r="L32" s="79">
        <v>0</v>
      </c>
      <c r="M32" s="79">
        <v>0</v>
      </c>
      <c r="N32" s="79">
        <v>0</v>
      </c>
      <c r="O32" s="79">
        <v>0</v>
      </c>
      <c r="P32" s="79">
        <v>0</v>
      </c>
      <c r="Q32" s="79">
        <v>0</v>
      </c>
      <c r="R32" s="79">
        <v>0</v>
      </c>
      <c r="S32" s="79">
        <v>0</v>
      </c>
      <c r="T32" s="79">
        <v>0</v>
      </c>
      <c r="U32" s="79">
        <v>0</v>
      </c>
      <c r="V32" s="79">
        <v>0</v>
      </c>
      <c r="W32" s="64"/>
    </row>
    <row r="33" spans="1:23" s="17" customFormat="1" ht="13.5" x14ac:dyDescent="0.2">
      <c r="A33" s="154"/>
      <c r="B33" s="7" t="s">
        <v>60</v>
      </c>
      <c r="C33" s="176" t="s">
        <v>61</v>
      </c>
      <c r="D33" s="82">
        <v>192346888</v>
      </c>
      <c r="E33" s="112">
        <v>0</v>
      </c>
      <c r="F33" s="79">
        <v>0</v>
      </c>
      <c r="G33" s="79">
        <v>0</v>
      </c>
      <c r="H33" s="79">
        <v>0</v>
      </c>
      <c r="I33" s="118">
        <f t="shared" si="32"/>
        <v>192346888</v>
      </c>
      <c r="J33" s="118">
        <v>0</v>
      </c>
      <c r="K33" s="118">
        <v>0</v>
      </c>
      <c r="L33" s="118">
        <v>0</v>
      </c>
      <c r="M33" s="118">
        <v>0</v>
      </c>
      <c r="N33" s="118">
        <v>0</v>
      </c>
      <c r="O33" s="118">
        <v>0</v>
      </c>
      <c r="P33" s="118">
        <v>0</v>
      </c>
      <c r="Q33" s="118">
        <v>0</v>
      </c>
      <c r="R33" s="118">
        <v>0</v>
      </c>
      <c r="S33" s="118">
        <v>0</v>
      </c>
      <c r="T33" s="118">
        <v>0</v>
      </c>
      <c r="U33" s="118">
        <v>0</v>
      </c>
      <c r="V33" s="118">
        <v>0</v>
      </c>
      <c r="W33" s="64"/>
    </row>
    <row r="34" spans="1:23" s="17" customFormat="1" ht="13.5" x14ac:dyDescent="0.2">
      <c r="A34" s="154"/>
      <c r="B34" s="7" t="s">
        <v>62</v>
      </c>
      <c r="C34" s="176" t="s">
        <v>44</v>
      </c>
      <c r="D34" s="82">
        <v>130827033</v>
      </c>
      <c r="E34" s="112">
        <v>0</v>
      </c>
      <c r="F34" s="79">
        <v>0</v>
      </c>
      <c r="G34" s="79">
        <v>0</v>
      </c>
      <c r="H34" s="79">
        <v>0</v>
      </c>
      <c r="I34" s="79">
        <f t="shared" si="32"/>
        <v>130827033</v>
      </c>
      <c r="J34" s="79">
        <v>0</v>
      </c>
      <c r="K34" s="79">
        <v>0</v>
      </c>
      <c r="L34" s="79">
        <v>0</v>
      </c>
      <c r="M34" s="79">
        <v>0</v>
      </c>
      <c r="N34" s="79">
        <v>0</v>
      </c>
      <c r="O34" s="79">
        <v>0</v>
      </c>
      <c r="P34" s="79">
        <v>0</v>
      </c>
      <c r="Q34" s="79">
        <v>0</v>
      </c>
      <c r="R34" s="79">
        <v>0</v>
      </c>
      <c r="S34" s="79">
        <v>0</v>
      </c>
      <c r="T34" s="79">
        <v>0</v>
      </c>
      <c r="U34" s="79">
        <v>0</v>
      </c>
      <c r="V34" s="79">
        <v>0</v>
      </c>
      <c r="W34" s="64"/>
    </row>
    <row r="35" spans="1:23" s="17" customFormat="1" ht="13.5" x14ac:dyDescent="0.2">
      <c r="A35" s="154"/>
      <c r="B35" s="7" t="s">
        <v>135</v>
      </c>
      <c r="C35" s="176" t="s">
        <v>63</v>
      </c>
      <c r="D35" s="82">
        <v>434116239</v>
      </c>
      <c r="E35" s="112">
        <v>0</v>
      </c>
      <c r="F35" s="79">
        <v>0</v>
      </c>
      <c r="G35" s="79">
        <v>0</v>
      </c>
      <c r="H35" s="79">
        <v>0</v>
      </c>
      <c r="I35" s="118">
        <f t="shared" si="32"/>
        <v>434116239</v>
      </c>
      <c r="J35" s="118">
        <v>0</v>
      </c>
      <c r="K35" s="118">
        <v>0</v>
      </c>
      <c r="L35" s="118">
        <v>0</v>
      </c>
      <c r="M35" s="118">
        <v>0</v>
      </c>
      <c r="N35" s="118">
        <v>0</v>
      </c>
      <c r="O35" s="118">
        <v>0</v>
      </c>
      <c r="P35" s="118">
        <v>0</v>
      </c>
      <c r="Q35" s="118">
        <v>0</v>
      </c>
      <c r="R35" s="118">
        <v>0</v>
      </c>
      <c r="S35" s="118">
        <v>0</v>
      </c>
      <c r="T35" s="118">
        <v>0</v>
      </c>
      <c r="U35" s="118">
        <v>0</v>
      </c>
      <c r="V35" s="118">
        <v>0</v>
      </c>
      <c r="W35" s="64"/>
    </row>
    <row r="36" spans="1:23" s="17" customFormat="1" ht="13.5" x14ac:dyDescent="0.2">
      <c r="A36" s="154"/>
      <c r="B36" s="7" t="s">
        <v>64</v>
      </c>
      <c r="C36" s="176" t="s">
        <v>65</v>
      </c>
      <c r="D36" s="82">
        <v>300542011.81999999</v>
      </c>
      <c r="E36" s="112">
        <v>0</v>
      </c>
      <c r="F36" s="79">
        <v>0</v>
      </c>
      <c r="G36" s="79">
        <v>0</v>
      </c>
      <c r="H36" s="79">
        <v>0</v>
      </c>
      <c r="I36" s="118">
        <f t="shared" si="32"/>
        <v>300542011.81999999</v>
      </c>
      <c r="J36" s="118">
        <v>0</v>
      </c>
      <c r="K36" s="118">
        <v>0</v>
      </c>
      <c r="L36" s="118">
        <v>0</v>
      </c>
      <c r="M36" s="118">
        <v>0</v>
      </c>
      <c r="N36" s="118">
        <v>0</v>
      </c>
      <c r="O36" s="118">
        <v>0</v>
      </c>
      <c r="P36" s="118">
        <v>0</v>
      </c>
      <c r="Q36" s="118">
        <v>0</v>
      </c>
      <c r="R36" s="118">
        <v>0</v>
      </c>
      <c r="S36" s="118">
        <v>0</v>
      </c>
      <c r="T36" s="118">
        <v>0</v>
      </c>
      <c r="U36" s="118">
        <v>0</v>
      </c>
      <c r="V36" s="118">
        <v>0</v>
      </c>
      <c r="W36" s="64"/>
    </row>
    <row r="37" spans="1:23" s="17" customFormat="1" ht="13.5" x14ac:dyDescent="0.2">
      <c r="A37" s="154"/>
      <c r="B37" s="7" t="s">
        <v>66</v>
      </c>
      <c r="C37" s="176" t="s">
        <v>67</v>
      </c>
      <c r="D37" s="82">
        <v>13405546</v>
      </c>
      <c r="E37" s="112">
        <v>0</v>
      </c>
      <c r="F37" s="79">
        <v>0</v>
      </c>
      <c r="G37" s="79">
        <v>0</v>
      </c>
      <c r="H37" s="79">
        <v>0</v>
      </c>
      <c r="I37" s="118">
        <f t="shared" si="32"/>
        <v>13405546</v>
      </c>
      <c r="J37" s="118">
        <v>0</v>
      </c>
      <c r="K37" s="118">
        <v>0</v>
      </c>
      <c r="L37" s="118">
        <v>0</v>
      </c>
      <c r="M37" s="118">
        <v>0</v>
      </c>
      <c r="N37" s="118">
        <v>0</v>
      </c>
      <c r="O37" s="118">
        <v>0</v>
      </c>
      <c r="P37" s="118">
        <v>0</v>
      </c>
      <c r="Q37" s="118">
        <v>0</v>
      </c>
      <c r="R37" s="118">
        <v>0</v>
      </c>
      <c r="S37" s="118">
        <v>0</v>
      </c>
      <c r="T37" s="118">
        <v>0</v>
      </c>
      <c r="U37" s="118">
        <v>0</v>
      </c>
      <c r="V37" s="118">
        <v>0</v>
      </c>
      <c r="W37" s="64"/>
    </row>
    <row r="38" spans="1:23" s="17" customFormat="1" x14ac:dyDescent="0.2">
      <c r="A38" s="154"/>
      <c r="B38" s="23" t="s">
        <v>71</v>
      </c>
      <c r="C38" s="5" t="s">
        <v>72</v>
      </c>
      <c r="D38" s="76">
        <f>SUM(D39:D45)</f>
        <v>2253421642</v>
      </c>
      <c r="E38" s="76">
        <f>SUM(E39:E45)</f>
        <v>0</v>
      </c>
      <c r="F38" s="76">
        <f>SUM(F39:F45)</f>
        <v>0</v>
      </c>
      <c r="G38" s="76">
        <f>SUM(G39:G45)</f>
        <v>0</v>
      </c>
      <c r="H38" s="76">
        <f>SUM(H39:H45)</f>
        <v>0</v>
      </c>
      <c r="I38" s="76">
        <f>+D38+E38-F38+G38-H38</f>
        <v>2253421642</v>
      </c>
      <c r="J38" s="76">
        <f t="shared" ref="J38:U38" si="33">SUM(J39:J45)</f>
        <v>0</v>
      </c>
      <c r="K38" s="76">
        <f t="shared" ref="K38:V38" si="34">SUM(K39:K45)</f>
        <v>0</v>
      </c>
      <c r="L38" s="76">
        <f t="shared" si="34"/>
        <v>0</v>
      </c>
      <c r="M38" s="76">
        <f t="shared" si="34"/>
        <v>0</v>
      </c>
      <c r="N38" s="76">
        <f t="shared" si="34"/>
        <v>0</v>
      </c>
      <c r="O38" s="76">
        <f t="shared" si="34"/>
        <v>0</v>
      </c>
      <c r="P38" s="76">
        <f t="shared" si="34"/>
        <v>0</v>
      </c>
      <c r="Q38" s="76">
        <f t="shared" si="34"/>
        <v>0</v>
      </c>
      <c r="R38" s="76">
        <f t="shared" si="34"/>
        <v>0</v>
      </c>
      <c r="S38" s="76">
        <f t="shared" si="34"/>
        <v>0</v>
      </c>
      <c r="T38" s="76">
        <f t="shared" si="34"/>
        <v>0</v>
      </c>
      <c r="U38" s="76">
        <f t="shared" si="34"/>
        <v>0</v>
      </c>
      <c r="V38" s="76">
        <f t="shared" si="34"/>
        <v>0</v>
      </c>
      <c r="W38" s="64"/>
    </row>
    <row r="39" spans="1:23" s="17" customFormat="1" ht="13.5" x14ac:dyDescent="0.2">
      <c r="A39" s="154"/>
      <c r="B39" s="7" t="s">
        <v>73</v>
      </c>
      <c r="C39" s="176" t="s">
        <v>74</v>
      </c>
      <c r="D39" s="82">
        <v>653165372</v>
      </c>
      <c r="E39" s="112">
        <v>0</v>
      </c>
      <c r="F39" s="79">
        <v>0</v>
      </c>
      <c r="G39" s="79">
        <v>0</v>
      </c>
      <c r="H39" s="79">
        <v>0</v>
      </c>
      <c r="I39" s="79">
        <f t="shared" ref="I39:I45" si="35">+D39+E39-F39+G39-H39</f>
        <v>653165372</v>
      </c>
      <c r="J39" s="118">
        <v>0</v>
      </c>
      <c r="K39" s="118">
        <v>0</v>
      </c>
      <c r="L39" s="118">
        <v>0</v>
      </c>
      <c r="M39" s="118">
        <v>0</v>
      </c>
      <c r="N39" s="118">
        <v>0</v>
      </c>
      <c r="O39" s="118">
        <v>0</v>
      </c>
      <c r="P39" s="118">
        <v>0</v>
      </c>
      <c r="Q39" s="118">
        <v>0</v>
      </c>
      <c r="R39" s="118">
        <v>0</v>
      </c>
      <c r="S39" s="118">
        <v>0</v>
      </c>
      <c r="T39" s="118">
        <v>0</v>
      </c>
      <c r="U39" s="118">
        <v>0</v>
      </c>
      <c r="V39" s="118">
        <v>0</v>
      </c>
      <c r="W39" s="64"/>
    </row>
    <row r="40" spans="1:23" s="17" customFormat="1" ht="13.5" x14ac:dyDescent="0.2">
      <c r="A40" s="154"/>
      <c r="B40" s="7" t="s">
        <v>75</v>
      </c>
      <c r="C40" s="176" t="s">
        <v>76</v>
      </c>
      <c r="D40" s="82">
        <v>462658805</v>
      </c>
      <c r="E40" s="112">
        <v>0</v>
      </c>
      <c r="F40" s="79">
        <v>0</v>
      </c>
      <c r="G40" s="79">
        <v>0</v>
      </c>
      <c r="H40" s="79">
        <v>0</v>
      </c>
      <c r="I40" s="79">
        <f t="shared" si="35"/>
        <v>462658805</v>
      </c>
      <c r="J40" s="118">
        <v>0</v>
      </c>
      <c r="K40" s="118">
        <v>0</v>
      </c>
      <c r="L40" s="118">
        <v>0</v>
      </c>
      <c r="M40" s="118">
        <v>0</v>
      </c>
      <c r="N40" s="118">
        <v>0</v>
      </c>
      <c r="O40" s="118">
        <v>0</v>
      </c>
      <c r="P40" s="118">
        <v>0</v>
      </c>
      <c r="Q40" s="118">
        <v>0</v>
      </c>
      <c r="R40" s="118">
        <v>0</v>
      </c>
      <c r="S40" s="118">
        <v>0</v>
      </c>
      <c r="T40" s="118">
        <v>0</v>
      </c>
      <c r="U40" s="118">
        <v>0</v>
      </c>
      <c r="V40" s="118">
        <v>0</v>
      </c>
      <c r="W40" s="64"/>
    </row>
    <row r="41" spans="1:23" s="17" customFormat="1" ht="13.5" x14ac:dyDescent="0.2">
      <c r="A41" s="154"/>
      <c r="B41" s="7" t="s">
        <v>77</v>
      </c>
      <c r="C41" s="176" t="s">
        <v>78</v>
      </c>
      <c r="D41" s="82">
        <v>454263685</v>
      </c>
      <c r="E41" s="112">
        <v>0</v>
      </c>
      <c r="F41" s="79">
        <v>0</v>
      </c>
      <c r="G41" s="79">
        <v>0</v>
      </c>
      <c r="H41" s="79">
        <v>0</v>
      </c>
      <c r="I41" s="79">
        <f t="shared" si="35"/>
        <v>454263685</v>
      </c>
      <c r="J41" s="118">
        <v>0</v>
      </c>
      <c r="K41" s="118">
        <v>0</v>
      </c>
      <c r="L41" s="118">
        <v>0</v>
      </c>
      <c r="M41" s="118">
        <v>0</v>
      </c>
      <c r="N41" s="118">
        <v>0</v>
      </c>
      <c r="O41" s="118">
        <v>0</v>
      </c>
      <c r="P41" s="118">
        <v>0</v>
      </c>
      <c r="Q41" s="118">
        <v>0</v>
      </c>
      <c r="R41" s="118">
        <v>0</v>
      </c>
      <c r="S41" s="118">
        <v>0</v>
      </c>
      <c r="T41" s="118">
        <v>0</v>
      </c>
      <c r="U41" s="118">
        <v>0</v>
      </c>
      <c r="V41" s="118">
        <v>0</v>
      </c>
      <c r="W41" s="64"/>
    </row>
    <row r="42" spans="1:23" s="17" customFormat="1" ht="13.5" x14ac:dyDescent="0.2">
      <c r="A42" s="154"/>
      <c r="B42" s="7" t="s">
        <v>79</v>
      </c>
      <c r="C42" s="176" t="s">
        <v>80</v>
      </c>
      <c r="D42" s="82">
        <v>244773871</v>
      </c>
      <c r="E42" s="112">
        <v>0</v>
      </c>
      <c r="F42" s="79">
        <v>0</v>
      </c>
      <c r="G42" s="79">
        <v>0</v>
      </c>
      <c r="H42" s="79">
        <v>0</v>
      </c>
      <c r="I42" s="79">
        <f t="shared" si="35"/>
        <v>244773871</v>
      </c>
      <c r="J42" s="118">
        <v>0</v>
      </c>
      <c r="K42" s="118">
        <v>0</v>
      </c>
      <c r="L42" s="118">
        <v>0</v>
      </c>
      <c r="M42" s="118">
        <v>0</v>
      </c>
      <c r="N42" s="118">
        <v>0</v>
      </c>
      <c r="O42" s="118">
        <v>0</v>
      </c>
      <c r="P42" s="118">
        <v>0</v>
      </c>
      <c r="Q42" s="118">
        <v>0</v>
      </c>
      <c r="R42" s="118">
        <v>0</v>
      </c>
      <c r="S42" s="118">
        <v>0</v>
      </c>
      <c r="T42" s="118">
        <v>0</v>
      </c>
      <c r="U42" s="118">
        <v>0</v>
      </c>
      <c r="V42" s="118">
        <v>0</v>
      </c>
      <c r="W42" s="64"/>
    </row>
    <row r="43" spans="1:23" s="17" customFormat="1" ht="13.5" x14ac:dyDescent="0.2">
      <c r="A43" s="154"/>
      <c r="B43" s="7" t="s">
        <v>81</v>
      </c>
      <c r="C43" s="176" t="s">
        <v>82</v>
      </c>
      <c r="D43" s="82">
        <v>132592571</v>
      </c>
      <c r="E43" s="112">
        <v>0</v>
      </c>
      <c r="F43" s="79">
        <v>0</v>
      </c>
      <c r="G43" s="79">
        <v>0</v>
      </c>
      <c r="H43" s="79">
        <v>0</v>
      </c>
      <c r="I43" s="79">
        <f t="shared" si="35"/>
        <v>132592571</v>
      </c>
      <c r="J43" s="118">
        <v>0</v>
      </c>
      <c r="K43" s="118">
        <v>0</v>
      </c>
      <c r="L43" s="118">
        <v>0</v>
      </c>
      <c r="M43" s="118">
        <v>0</v>
      </c>
      <c r="N43" s="118">
        <v>0</v>
      </c>
      <c r="O43" s="118">
        <v>0</v>
      </c>
      <c r="P43" s="118">
        <v>0</v>
      </c>
      <c r="Q43" s="118">
        <v>0</v>
      </c>
      <c r="R43" s="118">
        <v>0</v>
      </c>
      <c r="S43" s="118">
        <v>0</v>
      </c>
      <c r="T43" s="118">
        <v>0</v>
      </c>
      <c r="U43" s="118">
        <v>0</v>
      </c>
      <c r="V43" s="118">
        <v>0</v>
      </c>
      <c r="W43" s="64"/>
    </row>
    <row r="44" spans="1:23" s="17" customFormat="1" ht="13.5" x14ac:dyDescent="0.2">
      <c r="A44" s="154"/>
      <c r="B44" s="7" t="s">
        <v>83</v>
      </c>
      <c r="C44" s="176" t="s">
        <v>84</v>
      </c>
      <c r="D44" s="82">
        <v>183580403</v>
      </c>
      <c r="E44" s="112">
        <v>0</v>
      </c>
      <c r="F44" s="79">
        <v>0</v>
      </c>
      <c r="G44" s="79">
        <v>0</v>
      </c>
      <c r="H44" s="79">
        <v>0</v>
      </c>
      <c r="I44" s="79">
        <f t="shared" si="35"/>
        <v>183580403</v>
      </c>
      <c r="J44" s="118">
        <v>0</v>
      </c>
      <c r="K44" s="118">
        <v>0</v>
      </c>
      <c r="L44" s="118">
        <v>0</v>
      </c>
      <c r="M44" s="118">
        <v>0</v>
      </c>
      <c r="N44" s="118">
        <v>0</v>
      </c>
      <c r="O44" s="118">
        <v>0</v>
      </c>
      <c r="P44" s="118">
        <v>0</v>
      </c>
      <c r="Q44" s="118">
        <v>0</v>
      </c>
      <c r="R44" s="118">
        <v>0</v>
      </c>
      <c r="S44" s="118">
        <v>0</v>
      </c>
      <c r="T44" s="118">
        <v>0</v>
      </c>
      <c r="U44" s="118">
        <v>0</v>
      </c>
      <c r="V44" s="118">
        <v>0</v>
      </c>
      <c r="W44" s="64"/>
    </row>
    <row r="45" spans="1:23" s="17" customFormat="1" ht="13.5" x14ac:dyDescent="0.2">
      <c r="A45" s="154"/>
      <c r="B45" s="7" t="s">
        <v>85</v>
      </c>
      <c r="C45" s="176" t="s">
        <v>86</v>
      </c>
      <c r="D45" s="82">
        <v>122386935</v>
      </c>
      <c r="E45" s="112">
        <v>0</v>
      </c>
      <c r="F45" s="79">
        <v>0</v>
      </c>
      <c r="G45" s="79">
        <v>0</v>
      </c>
      <c r="H45" s="79">
        <v>0</v>
      </c>
      <c r="I45" s="79">
        <f t="shared" si="35"/>
        <v>122386935</v>
      </c>
      <c r="J45" s="118">
        <v>0</v>
      </c>
      <c r="K45" s="118">
        <v>0</v>
      </c>
      <c r="L45" s="118">
        <v>0</v>
      </c>
      <c r="M45" s="118">
        <v>0</v>
      </c>
      <c r="N45" s="118">
        <v>0</v>
      </c>
      <c r="O45" s="118">
        <v>0</v>
      </c>
      <c r="P45" s="118">
        <v>0</v>
      </c>
      <c r="Q45" s="118">
        <v>0</v>
      </c>
      <c r="R45" s="118">
        <v>0</v>
      </c>
      <c r="S45" s="118">
        <v>0</v>
      </c>
      <c r="T45" s="118">
        <v>0</v>
      </c>
      <c r="U45" s="118">
        <v>0</v>
      </c>
      <c r="V45" s="118">
        <v>0</v>
      </c>
      <c r="W45" s="64"/>
    </row>
    <row r="46" spans="1:23" s="17" customFormat="1" ht="25.5" x14ac:dyDescent="0.2">
      <c r="A46" s="154"/>
      <c r="B46" s="23" t="s">
        <v>87</v>
      </c>
      <c r="C46" s="5" t="s">
        <v>88</v>
      </c>
      <c r="D46" s="76">
        <f>SUM(D47:D48)</f>
        <v>257505524.62222588</v>
      </c>
      <c r="E46" s="76">
        <f>SUM(E47:E48)</f>
        <v>0</v>
      </c>
      <c r="F46" s="76">
        <f>SUM(F47:F48)</f>
        <v>0</v>
      </c>
      <c r="G46" s="76">
        <f>SUM(G47:G48)</f>
        <v>0</v>
      </c>
      <c r="H46" s="76">
        <f>SUM(H47:H48)</f>
        <v>0</v>
      </c>
      <c r="I46" s="76">
        <f>+D46+E46-F46+G46-H46</f>
        <v>257505524.62222588</v>
      </c>
      <c r="J46" s="76">
        <f t="shared" ref="J46:U46" si="36">SUM(J47:J48)</f>
        <v>0</v>
      </c>
      <c r="K46" s="76">
        <f t="shared" ref="K46:V46" si="37">SUM(K47:K48)</f>
        <v>0</v>
      </c>
      <c r="L46" s="76">
        <f t="shared" si="37"/>
        <v>0</v>
      </c>
      <c r="M46" s="76">
        <f t="shared" si="37"/>
        <v>0</v>
      </c>
      <c r="N46" s="76">
        <f t="shared" si="37"/>
        <v>0</v>
      </c>
      <c r="O46" s="76">
        <f t="shared" si="37"/>
        <v>0</v>
      </c>
      <c r="P46" s="76">
        <f t="shared" si="37"/>
        <v>0</v>
      </c>
      <c r="Q46" s="76">
        <f t="shared" si="37"/>
        <v>0</v>
      </c>
      <c r="R46" s="76">
        <f t="shared" si="37"/>
        <v>0</v>
      </c>
      <c r="S46" s="76">
        <f t="shared" si="37"/>
        <v>0</v>
      </c>
      <c r="T46" s="76">
        <f t="shared" si="37"/>
        <v>0</v>
      </c>
      <c r="U46" s="76">
        <f t="shared" si="37"/>
        <v>0</v>
      </c>
      <c r="V46" s="76">
        <f t="shared" si="37"/>
        <v>0</v>
      </c>
      <c r="W46" s="64"/>
    </row>
    <row r="47" spans="1:23" s="17" customFormat="1" ht="13.5" x14ac:dyDescent="0.2">
      <c r="A47" s="154"/>
      <c r="B47" s="7" t="s">
        <v>89</v>
      </c>
      <c r="C47" s="176" t="s">
        <v>90</v>
      </c>
      <c r="D47" s="82">
        <v>212650541.93446589</v>
      </c>
      <c r="E47" s="112">
        <v>0</v>
      </c>
      <c r="F47" s="79">
        <v>0</v>
      </c>
      <c r="G47" s="79">
        <v>0</v>
      </c>
      <c r="H47" s="79">
        <v>0</v>
      </c>
      <c r="I47" s="79">
        <f>+D47+E47-F47+G47-H47</f>
        <v>212650541.93446589</v>
      </c>
      <c r="J47" s="118">
        <v>0</v>
      </c>
      <c r="K47" s="118">
        <v>0</v>
      </c>
      <c r="L47" s="118">
        <v>0</v>
      </c>
      <c r="M47" s="118">
        <v>0</v>
      </c>
      <c r="N47" s="118">
        <v>0</v>
      </c>
      <c r="O47" s="118">
        <v>0</v>
      </c>
      <c r="P47" s="118">
        <v>0</v>
      </c>
      <c r="Q47" s="118">
        <v>0</v>
      </c>
      <c r="R47" s="118">
        <v>0</v>
      </c>
      <c r="S47" s="118">
        <v>0</v>
      </c>
      <c r="T47" s="118">
        <v>0</v>
      </c>
      <c r="U47" s="118">
        <v>0</v>
      </c>
      <c r="V47" s="118">
        <v>0</v>
      </c>
      <c r="W47" s="64"/>
    </row>
    <row r="48" spans="1:23" s="17" customFormat="1" ht="13.5" x14ac:dyDescent="0.2">
      <c r="A48" s="154"/>
      <c r="B48" s="7" t="s">
        <v>91</v>
      </c>
      <c r="C48" s="176" t="s">
        <v>92</v>
      </c>
      <c r="D48" s="82">
        <v>44854982.68776001</v>
      </c>
      <c r="E48" s="112">
        <v>0</v>
      </c>
      <c r="F48" s="79">
        <v>0</v>
      </c>
      <c r="G48" s="79">
        <v>0</v>
      </c>
      <c r="H48" s="79">
        <v>0</v>
      </c>
      <c r="I48" s="79">
        <f>+D48+E48-F48+G48-H48</f>
        <v>44854982.68776001</v>
      </c>
      <c r="J48" s="118">
        <v>0</v>
      </c>
      <c r="K48" s="118">
        <v>0</v>
      </c>
      <c r="L48" s="118">
        <v>0</v>
      </c>
      <c r="M48" s="118">
        <v>0</v>
      </c>
      <c r="N48" s="118">
        <v>0</v>
      </c>
      <c r="O48" s="118">
        <v>0</v>
      </c>
      <c r="P48" s="118">
        <v>0</v>
      </c>
      <c r="Q48" s="118">
        <v>0</v>
      </c>
      <c r="R48" s="118">
        <v>0</v>
      </c>
      <c r="S48" s="118">
        <v>0</v>
      </c>
      <c r="T48" s="118">
        <v>0</v>
      </c>
      <c r="U48" s="118">
        <v>0</v>
      </c>
      <c r="V48" s="118">
        <v>0</v>
      </c>
      <c r="W48" s="64"/>
    </row>
    <row r="49" spans="1:23" s="12" customFormat="1" x14ac:dyDescent="0.2">
      <c r="A49" s="154"/>
      <c r="B49" s="24" t="s">
        <v>93</v>
      </c>
      <c r="C49" s="27" t="s">
        <v>105</v>
      </c>
      <c r="D49" s="74">
        <f>+D50+D54+D57</f>
        <v>3273372185.4499998</v>
      </c>
      <c r="E49" s="74">
        <f>+E50+E54+E57</f>
        <v>0</v>
      </c>
      <c r="F49" s="74">
        <f>+F50+F54+F57</f>
        <v>0</v>
      </c>
      <c r="G49" s="74">
        <f>+G50+G54+G57</f>
        <v>0</v>
      </c>
      <c r="H49" s="74">
        <f>+H50+H54+H57</f>
        <v>0</v>
      </c>
      <c r="I49" s="74">
        <f t="shared" ref="I49:I75" si="38">+D49+E49-F49+G49-H49</f>
        <v>3273372185.4499998</v>
      </c>
      <c r="J49" s="74">
        <f>+J50+J54+J57</f>
        <v>0</v>
      </c>
      <c r="K49" s="74">
        <f t="shared" ref="K49:V49" si="39">+K50+K54+K57</f>
        <v>0</v>
      </c>
      <c r="L49" s="74">
        <f t="shared" si="39"/>
        <v>0</v>
      </c>
      <c r="M49" s="74">
        <f t="shared" si="39"/>
        <v>0</v>
      </c>
      <c r="N49" s="74">
        <f t="shared" si="39"/>
        <v>0</v>
      </c>
      <c r="O49" s="74">
        <f t="shared" si="39"/>
        <v>0</v>
      </c>
      <c r="P49" s="74">
        <f t="shared" si="39"/>
        <v>0</v>
      </c>
      <c r="Q49" s="74">
        <f t="shared" si="39"/>
        <v>0</v>
      </c>
      <c r="R49" s="74">
        <f t="shared" si="39"/>
        <v>0</v>
      </c>
      <c r="S49" s="74">
        <f t="shared" si="39"/>
        <v>0</v>
      </c>
      <c r="T49" s="74">
        <f t="shared" si="39"/>
        <v>0</v>
      </c>
      <c r="U49" s="74">
        <f t="shared" si="39"/>
        <v>0</v>
      </c>
      <c r="V49" s="74">
        <f t="shared" si="39"/>
        <v>0</v>
      </c>
      <c r="W49" s="64"/>
    </row>
    <row r="50" spans="1:23" s="17" customFormat="1" x14ac:dyDescent="0.2">
      <c r="A50" s="154"/>
      <c r="B50" s="23" t="s">
        <v>94</v>
      </c>
      <c r="C50" s="5" t="s">
        <v>95</v>
      </c>
      <c r="D50" s="76">
        <f>+D51+D52+D53</f>
        <v>790000000</v>
      </c>
      <c r="E50" s="76">
        <f t="shared" ref="E50:I50" si="40">+E51+E52+E53</f>
        <v>0</v>
      </c>
      <c r="F50" s="76">
        <f t="shared" si="40"/>
        <v>0</v>
      </c>
      <c r="G50" s="76">
        <f t="shared" si="40"/>
        <v>0</v>
      </c>
      <c r="H50" s="76">
        <f t="shared" si="40"/>
        <v>0</v>
      </c>
      <c r="I50" s="76">
        <f t="shared" si="40"/>
        <v>790000000</v>
      </c>
      <c r="J50" s="76">
        <f>J51+J52+J53</f>
        <v>0</v>
      </c>
      <c r="K50" s="76">
        <f t="shared" ref="K50:V50" si="41">K51+K52+K53</f>
        <v>0</v>
      </c>
      <c r="L50" s="76">
        <f t="shared" si="41"/>
        <v>0</v>
      </c>
      <c r="M50" s="76">
        <f t="shared" si="41"/>
        <v>0</v>
      </c>
      <c r="N50" s="76">
        <f t="shared" si="41"/>
        <v>0</v>
      </c>
      <c r="O50" s="76">
        <f t="shared" si="41"/>
        <v>0</v>
      </c>
      <c r="P50" s="76">
        <f t="shared" si="41"/>
        <v>0</v>
      </c>
      <c r="Q50" s="76">
        <f t="shared" si="41"/>
        <v>0</v>
      </c>
      <c r="R50" s="76">
        <f t="shared" si="41"/>
        <v>0</v>
      </c>
      <c r="S50" s="76">
        <f t="shared" si="41"/>
        <v>0</v>
      </c>
      <c r="T50" s="76">
        <f t="shared" si="41"/>
        <v>0</v>
      </c>
      <c r="U50" s="76">
        <f t="shared" si="41"/>
        <v>0</v>
      </c>
      <c r="V50" s="76">
        <f t="shared" si="41"/>
        <v>0</v>
      </c>
      <c r="W50" s="64"/>
    </row>
    <row r="51" spans="1:23" s="17" customFormat="1" ht="25.5" x14ac:dyDescent="0.2">
      <c r="A51" s="154"/>
      <c r="B51" s="7" t="s">
        <v>117</v>
      </c>
      <c r="C51" s="176" t="s">
        <v>118</v>
      </c>
      <c r="D51" s="82">
        <v>40000000</v>
      </c>
      <c r="E51" s="79">
        <v>0</v>
      </c>
      <c r="F51" s="79">
        <v>0</v>
      </c>
      <c r="G51" s="79">
        <v>0</v>
      </c>
      <c r="H51" s="79">
        <v>0</v>
      </c>
      <c r="I51" s="79">
        <f t="shared" si="38"/>
        <v>40000000</v>
      </c>
      <c r="J51" s="118">
        <v>0</v>
      </c>
      <c r="K51" s="118">
        <v>0</v>
      </c>
      <c r="L51" s="118">
        <v>0</v>
      </c>
      <c r="M51" s="118">
        <v>0</v>
      </c>
      <c r="N51" s="118">
        <v>0</v>
      </c>
      <c r="O51" s="118">
        <v>0</v>
      </c>
      <c r="P51" s="118">
        <v>0</v>
      </c>
      <c r="Q51" s="118">
        <v>0</v>
      </c>
      <c r="R51" s="118">
        <v>0</v>
      </c>
      <c r="S51" s="118">
        <v>0</v>
      </c>
      <c r="T51" s="118">
        <v>0</v>
      </c>
      <c r="U51" s="118">
        <v>0</v>
      </c>
      <c r="V51" s="118">
        <v>0</v>
      </c>
      <c r="W51" s="64"/>
    </row>
    <row r="52" spans="1:23" s="17" customFormat="1" ht="25.5" x14ac:dyDescent="0.2">
      <c r="A52" s="154"/>
      <c r="B52" s="92" t="s">
        <v>204</v>
      </c>
      <c r="C52" s="176" t="s">
        <v>118</v>
      </c>
      <c r="D52" s="82">
        <v>350000000</v>
      </c>
      <c r="E52" s="79">
        <v>0</v>
      </c>
      <c r="F52" s="79">
        <v>0</v>
      </c>
      <c r="G52" s="79">
        <v>0</v>
      </c>
      <c r="H52" s="79">
        <v>0</v>
      </c>
      <c r="I52" s="79">
        <f t="shared" si="38"/>
        <v>350000000</v>
      </c>
      <c r="J52" s="118">
        <v>0</v>
      </c>
      <c r="K52" s="118">
        <v>0</v>
      </c>
      <c r="L52" s="118">
        <v>0</v>
      </c>
      <c r="M52" s="118">
        <v>0</v>
      </c>
      <c r="N52" s="118">
        <v>0</v>
      </c>
      <c r="O52" s="118">
        <v>0</v>
      </c>
      <c r="P52" s="118">
        <v>0</v>
      </c>
      <c r="Q52" s="118">
        <v>0</v>
      </c>
      <c r="R52" s="118">
        <v>0</v>
      </c>
      <c r="S52" s="118">
        <v>0</v>
      </c>
      <c r="T52" s="118">
        <v>0</v>
      </c>
      <c r="U52" s="118">
        <v>0</v>
      </c>
      <c r="V52" s="118">
        <v>0</v>
      </c>
      <c r="W52" s="64"/>
    </row>
    <row r="53" spans="1:23" s="17" customFormat="1" ht="27" x14ac:dyDescent="0.2">
      <c r="A53" s="154"/>
      <c r="B53" s="97" t="s">
        <v>205</v>
      </c>
      <c r="C53" s="177" t="s">
        <v>206</v>
      </c>
      <c r="D53" s="82">
        <v>400000000</v>
      </c>
      <c r="E53" s="79">
        <v>0</v>
      </c>
      <c r="F53" s="79">
        <v>0</v>
      </c>
      <c r="G53" s="79">
        <v>0</v>
      </c>
      <c r="H53" s="79">
        <v>0</v>
      </c>
      <c r="I53" s="79">
        <f t="shared" si="38"/>
        <v>400000000</v>
      </c>
      <c r="J53" s="118">
        <v>0</v>
      </c>
      <c r="K53" s="118">
        <v>0</v>
      </c>
      <c r="L53" s="118">
        <v>0</v>
      </c>
      <c r="M53" s="118">
        <v>0</v>
      </c>
      <c r="N53" s="118">
        <v>0</v>
      </c>
      <c r="O53" s="118">
        <v>0</v>
      </c>
      <c r="P53" s="118">
        <v>0</v>
      </c>
      <c r="Q53" s="118">
        <v>0</v>
      </c>
      <c r="R53" s="118">
        <v>0</v>
      </c>
      <c r="S53" s="118">
        <v>0</v>
      </c>
      <c r="T53" s="118">
        <v>0</v>
      </c>
      <c r="U53" s="118">
        <v>0</v>
      </c>
      <c r="V53" s="118">
        <v>0</v>
      </c>
      <c r="W53" s="64"/>
    </row>
    <row r="54" spans="1:23" s="17" customFormat="1" x14ac:dyDescent="0.2">
      <c r="A54" s="154"/>
      <c r="B54" s="23" t="s">
        <v>97</v>
      </c>
      <c r="C54" s="5" t="s">
        <v>98</v>
      </c>
      <c r="D54" s="76">
        <f>SUM(D55+D56)</f>
        <v>158464000</v>
      </c>
      <c r="E54" s="76">
        <f t="shared" ref="E54:I54" si="42">SUM(E55+E56)</f>
        <v>0</v>
      </c>
      <c r="F54" s="76">
        <f t="shared" si="42"/>
        <v>0</v>
      </c>
      <c r="G54" s="76">
        <f t="shared" si="42"/>
        <v>0</v>
      </c>
      <c r="H54" s="76">
        <f t="shared" si="42"/>
        <v>0</v>
      </c>
      <c r="I54" s="76">
        <f t="shared" si="42"/>
        <v>158464000</v>
      </c>
      <c r="J54" s="76">
        <f>J55+J56</f>
        <v>0</v>
      </c>
      <c r="K54" s="76">
        <f t="shared" ref="K54:V54" si="43">K55+K56</f>
        <v>0</v>
      </c>
      <c r="L54" s="76">
        <f t="shared" si="43"/>
        <v>0</v>
      </c>
      <c r="M54" s="76">
        <f t="shared" si="43"/>
        <v>0</v>
      </c>
      <c r="N54" s="76">
        <f t="shared" si="43"/>
        <v>0</v>
      </c>
      <c r="O54" s="76">
        <f t="shared" si="43"/>
        <v>0</v>
      </c>
      <c r="P54" s="76">
        <f t="shared" si="43"/>
        <v>0</v>
      </c>
      <c r="Q54" s="76">
        <f t="shared" si="43"/>
        <v>0</v>
      </c>
      <c r="R54" s="76">
        <f t="shared" si="43"/>
        <v>0</v>
      </c>
      <c r="S54" s="76">
        <f t="shared" si="43"/>
        <v>0</v>
      </c>
      <c r="T54" s="76">
        <f t="shared" si="43"/>
        <v>0</v>
      </c>
      <c r="U54" s="76">
        <f t="shared" si="43"/>
        <v>0</v>
      </c>
      <c r="V54" s="76">
        <f t="shared" si="43"/>
        <v>0</v>
      </c>
      <c r="W54" s="64"/>
    </row>
    <row r="55" spans="1:23" s="17" customFormat="1" ht="25.5" x14ac:dyDescent="0.2">
      <c r="A55" s="154"/>
      <c r="B55" s="7" t="s">
        <v>111</v>
      </c>
      <c r="C55" s="176" t="s">
        <v>96</v>
      </c>
      <c r="D55" s="82">
        <v>143464000</v>
      </c>
      <c r="E55" s="112">
        <v>0</v>
      </c>
      <c r="F55" s="79">
        <v>0</v>
      </c>
      <c r="G55" s="79">
        <v>0</v>
      </c>
      <c r="H55" s="79">
        <v>0</v>
      </c>
      <c r="I55" s="79">
        <f>+D55+E55-F55+G55-H55</f>
        <v>143464000</v>
      </c>
      <c r="J55" s="118">
        <v>0</v>
      </c>
      <c r="K55" s="118">
        <v>0</v>
      </c>
      <c r="L55" s="118">
        <v>0</v>
      </c>
      <c r="M55" s="118">
        <v>0</v>
      </c>
      <c r="N55" s="118">
        <v>0</v>
      </c>
      <c r="O55" s="118">
        <v>0</v>
      </c>
      <c r="P55" s="118">
        <v>0</v>
      </c>
      <c r="Q55" s="118">
        <v>0</v>
      </c>
      <c r="R55" s="118">
        <v>0</v>
      </c>
      <c r="S55" s="118">
        <v>0</v>
      </c>
      <c r="T55" s="118">
        <v>0</v>
      </c>
      <c r="U55" s="118">
        <v>0</v>
      </c>
      <c r="V55" s="118">
        <v>0</v>
      </c>
      <c r="W55" s="64"/>
    </row>
    <row r="56" spans="1:23" s="17" customFormat="1" ht="25.5" x14ac:dyDescent="0.2">
      <c r="A56" s="154"/>
      <c r="B56" s="92" t="s">
        <v>207</v>
      </c>
      <c r="C56" s="176" t="s">
        <v>96</v>
      </c>
      <c r="D56" s="82">
        <v>15000000</v>
      </c>
      <c r="E56" s="112">
        <v>0</v>
      </c>
      <c r="F56" s="79">
        <v>0</v>
      </c>
      <c r="G56" s="79">
        <v>0</v>
      </c>
      <c r="H56" s="79">
        <v>0</v>
      </c>
      <c r="I56" s="79">
        <f>+D56+E56-F56+G56-H56</f>
        <v>15000000</v>
      </c>
      <c r="J56" s="118">
        <v>0</v>
      </c>
      <c r="K56" s="118">
        <v>0</v>
      </c>
      <c r="L56" s="118">
        <v>0</v>
      </c>
      <c r="M56" s="118">
        <v>0</v>
      </c>
      <c r="N56" s="118">
        <v>0</v>
      </c>
      <c r="O56" s="118">
        <v>0</v>
      </c>
      <c r="P56" s="118">
        <v>0</v>
      </c>
      <c r="Q56" s="118">
        <v>0</v>
      </c>
      <c r="R56" s="118">
        <v>0</v>
      </c>
      <c r="S56" s="118">
        <v>0</v>
      </c>
      <c r="T56" s="118">
        <v>0</v>
      </c>
      <c r="U56" s="118">
        <v>0</v>
      </c>
      <c r="V56" s="118">
        <v>0</v>
      </c>
      <c r="W56" s="64"/>
    </row>
    <row r="57" spans="1:23" s="12" customFormat="1" x14ac:dyDescent="0.2">
      <c r="A57" s="154"/>
      <c r="B57" s="23" t="s">
        <v>99</v>
      </c>
      <c r="C57" s="5" t="s">
        <v>100</v>
      </c>
      <c r="D57" s="76">
        <f>SUM(D58:D64)</f>
        <v>2324908185.4499998</v>
      </c>
      <c r="E57" s="76">
        <f t="shared" ref="E57:I57" si="44">SUM(E58:E64)</f>
        <v>0</v>
      </c>
      <c r="F57" s="76">
        <f t="shared" si="44"/>
        <v>0</v>
      </c>
      <c r="G57" s="76">
        <f t="shared" si="44"/>
        <v>0</v>
      </c>
      <c r="H57" s="76">
        <f t="shared" si="44"/>
        <v>0</v>
      </c>
      <c r="I57" s="76">
        <f t="shared" si="44"/>
        <v>2324908185.4499998</v>
      </c>
      <c r="J57" s="76">
        <f>J58+J59+J60+J61+J62+J63+J64</f>
        <v>0</v>
      </c>
      <c r="K57" s="76">
        <f t="shared" ref="K57:V57" si="45">K58+K59+K60+K61+K62+K63+K64</f>
        <v>0</v>
      </c>
      <c r="L57" s="76">
        <f t="shared" si="45"/>
        <v>0</v>
      </c>
      <c r="M57" s="76">
        <f t="shared" si="45"/>
        <v>0</v>
      </c>
      <c r="N57" s="76">
        <f t="shared" si="45"/>
        <v>0</v>
      </c>
      <c r="O57" s="76">
        <f t="shared" si="45"/>
        <v>0</v>
      </c>
      <c r="P57" s="76">
        <f t="shared" si="45"/>
        <v>0</v>
      </c>
      <c r="Q57" s="76">
        <f t="shared" si="45"/>
        <v>0</v>
      </c>
      <c r="R57" s="76">
        <f t="shared" si="45"/>
        <v>0</v>
      </c>
      <c r="S57" s="76">
        <f t="shared" si="45"/>
        <v>0</v>
      </c>
      <c r="T57" s="76">
        <f t="shared" si="45"/>
        <v>0</v>
      </c>
      <c r="U57" s="76">
        <f t="shared" si="45"/>
        <v>0</v>
      </c>
      <c r="V57" s="76">
        <f t="shared" si="45"/>
        <v>0</v>
      </c>
      <c r="W57" s="64"/>
    </row>
    <row r="58" spans="1:23" s="17" customFormat="1" ht="38.25" x14ac:dyDescent="0.2">
      <c r="A58" s="154"/>
      <c r="B58" s="7" t="s">
        <v>119</v>
      </c>
      <c r="C58" s="6" t="s">
        <v>112</v>
      </c>
      <c r="D58" s="79">
        <v>0</v>
      </c>
      <c r="E58" s="79">
        <v>0</v>
      </c>
      <c r="F58" s="79">
        <v>0</v>
      </c>
      <c r="G58" s="79">
        <v>0</v>
      </c>
      <c r="H58" s="79">
        <v>0</v>
      </c>
      <c r="I58" s="79">
        <f t="shared" si="38"/>
        <v>0</v>
      </c>
      <c r="J58" s="118">
        <v>0</v>
      </c>
      <c r="K58" s="118">
        <v>0</v>
      </c>
      <c r="L58" s="118">
        <v>0</v>
      </c>
      <c r="M58" s="118">
        <v>0</v>
      </c>
      <c r="N58" s="118">
        <v>0</v>
      </c>
      <c r="O58" s="118">
        <v>0</v>
      </c>
      <c r="P58" s="118">
        <v>0</v>
      </c>
      <c r="Q58" s="118">
        <v>0</v>
      </c>
      <c r="R58" s="118">
        <v>0</v>
      </c>
      <c r="S58" s="118">
        <v>0</v>
      </c>
      <c r="T58" s="118">
        <v>0</v>
      </c>
      <c r="U58" s="118">
        <v>0</v>
      </c>
      <c r="V58" s="118">
        <v>0</v>
      </c>
      <c r="W58" s="64"/>
    </row>
    <row r="59" spans="1:23" s="17" customFormat="1" ht="25.5" x14ac:dyDescent="0.2">
      <c r="A59" s="154"/>
      <c r="B59" s="7" t="s">
        <v>113</v>
      </c>
      <c r="C59" s="6" t="s">
        <v>101</v>
      </c>
      <c r="D59" s="79">
        <v>892000000</v>
      </c>
      <c r="E59" s="79">
        <v>0</v>
      </c>
      <c r="F59" s="79">
        <v>0</v>
      </c>
      <c r="G59" s="79">
        <v>0</v>
      </c>
      <c r="H59" s="79">
        <v>0</v>
      </c>
      <c r="I59" s="79">
        <f t="shared" si="38"/>
        <v>892000000</v>
      </c>
      <c r="J59" s="118">
        <v>0</v>
      </c>
      <c r="K59" s="118">
        <v>0</v>
      </c>
      <c r="L59" s="118">
        <v>0</v>
      </c>
      <c r="M59" s="118">
        <v>0</v>
      </c>
      <c r="N59" s="118">
        <v>0</v>
      </c>
      <c r="O59" s="118">
        <v>0</v>
      </c>
      <c r="P59" s="118">
        <v>0</v>
      </c>
      <c r="Q59" s="118">
        <v>0</v>
      </c>
      <c r="R59" s="118">
        <v>0</v>
      </c>
      <c r="S59" s="118">
        <v>0</v>
      </c>
      <c r="T59" s="118">
        <v>0</v>
      </c>
      <c r="U59" s="118">
        <v>0</v>
      </c>
      <c r="V59" s="118">
        <v>0</v>
      </c>
      <c r="W59" s="64"/>
    </row>
    <row r="60" spans="1:23" s="17" customFormat="1" ht="25.5" x14ac:dyDescent="0.2">
      <c r="A60" s="154"/>
      <c r="B60" s="92" t="s">
        <v>208</v>
      </c>
      <c r="C60" s="6" t="s">
        <v>101</v>
      </c>
      <c r="D60" s="79">
        <v>100000000</v>
      </c>
      <c r="E60" s="79">
        <v>0</v>
      </c>
      <c r="F60" s="79">
        <v>0</v>
      </c>
      <c r="G60" s="79">
        <v>0</v>
      </c>
      <c r="H60" s="79">
        <v>0</v>
      </c>
      <c r="I60" s="79">
        <f t="shared" si="38"/>
        <v>100000000</v>
      </c>
      <c r="J60" s="118">
        <v>0</v>
      </c>
      <c r="K60" s="118">
        <v>0</v>
      </c>
      <c r="L60" s="118">
        <v>0</v>
      </c>
      <c r="M60" s="118">
        <v>0</v>
      </c>
      <c r="N60" s="118">
        <v>0</v>
      </c>
      <c r="O60" s="118">
        <v>0</v>
      </c>
      <c r="P60" s="118">
        <v>0</v>
      </c>
      <c r="Q60" s="118">
        <v>0</v>
      </c>
      <c r="R60" s="118">
        <v>0</v>
      </c>
      <c r="S60" s="118">
        <v>0</v>
      </c>
      <c r="T60" s="118">
        <v>0</v>
      </c>
      <c r="U60" s="118">
        <v>0</v>
      </c>
      <c r="V60" s="118">
        <v>0</v>
      </c>
      <c r="W60" s="64"/>
    </row>
    <row r="61" spans="1:23" s="17" customFormat="1" ht="25.5" x14ac:dyDescent="0.2">
      <c r="A61" s="154"/>
      <c r="B61" s="7" t="s">
        <v>114</v>
      </c>
      <c r="C61" s="6" t="s">
        <v>102</v>
      </c>
      <c r="D61" s="79">
        <v>958798392.54999995</v>
      </c>
      <c r="E61" s="79">
        <v>0</v>
      </c>
      <c r="F61" s="79">
        <v>0</v>
      </c>
      <c r="G61" s="79">
        <v>0</v>
      </c>
      <c r="H61" s="79">
        <v>0</v>
      </c>
      <c r="I61" s="79">
        <f t="shared" si="38"/>
        <v>958798392.54999995</v>
      </c>
      <c r="J61" s="118">
        <v>0</v>
      </c>
      <c r="K61" s="118">
        <v>0</v>
      </c>
      <c r="L61" s="118">
        <v>0</v>
      </c>
      <c r="M61" s="118">
        <v>0</v>
      </c>
      <c r="N61" s="118">
        <v>0</v>
      </c>
      <c r="O61" s="118">
        <v>0</v>
      </c>
      <c r="P61" s="118">
        <v>0</v>
      </c>
      <c r="Q61" s="118">
        <v>0</v>
      </c>
      <c r="R61" s="118">
        <v>0</v>
      </c>
      <c r="S61" s="118">
        <v>0</v>
      </c>
      <c r="T61" s="118">
        <v>0</v>
      </c>
      <c r="U61" s="118">
        <v>0</v>
      </c>
      <c r="V61" s="118">
        <v>0</v>
      </c>
      <c r="W61" s="64"/>
    </row>
    <row r="62" spans="1:23" s="17" customFormat="1" ht="25.5" x14ac:dyDescent="0.2">
      <c r="A62" s="154"/>
      <c r="B62" s="92" t="s">
        <v>190</v>
      </c>
      <c r="C62" s="6" t="s">
        <v>102</v>
      </c>
      <c r="D62" s="79">
        <v>295629792.89999998</v>
      </c>
      <c r="E62" s="79">
        <v>0</v>
      </c>
      <c r="F62" s="79">
        <v>0</v>
      </c>
      <c r="G62" s="79">
        <v>0</v>
      </c>
      <c r="H62" s="79">
        <v>0</v>
      </c>
      <c r="I62" s="79">
        <f t="shared" si="38"/>
        <v>295629792.89999998</v>
      </c>
      <c r="J62" s="118">
        <v>0</v>
      </c>
      <c r="K62" s="118">
        <v>0</v>
      </c>
      <c r="L62" s="118">
        <v>0</v>
      </c>
      <c r="M62" s="118">
        <v>0</v>
      </c>
      <c r="N62" s="118">
        <v>0</v>
      </c>
      <c r="O62" s="118">
        <v>0</v>
      </c>
      <c r="P62" s="118">
        <v>0</v>
      </c>
      <c r="Q62" s="118">
        <v>0</v>
      </c>
      <c r="R62" s="118">
        <v>0</v>
      </c>
      <c r="S62" s="118">
        <v>0</v>
      </c>
      <c r="T62" s="118">
        <v>0</v>
      </c>
      <c r="U62" s="118">
        <v>0</v>
      </c>
      <c r="V62" s="118">
        <v>0</v>
      </c>
      <c r="W62" s="64"/>
    </row>
    <row r="63" spans="1:23" s="17" customFormat="1" x14ac:dyDescent="0.2">
      <c r="A63" s="154"/>
      <c r="B63" s="7" t="s">
        <v>120</v>
      </c>
      <c r="C63" s="6" t="s">
        <v>57</v>
      </c>
      <c r="D63" s="79">
        <v>18480000</v>
      </c>
      <c r="E63" s="79">
        <v>0</v>
      </c>
      <c r="F63" s="79">
        <v>0</v>
      </c>
      <c r="G63" s="79">
        <v>0</v>
      </c>
      <c r="H63" s="79">
        <v>0</v>
      </c>
      <c r="I63" s="79">
        <f t="shared" si="38"/>
        <v>18480000</v>
      </c>
      <c r="J63" s="118">
        <v>0</v>
      </c>
      <c r="K63" s="118">
        <v>0</v>
      </c>
      <c r="L63" s="118">
        <v>0</v>
      </c>
      <c r="M63" s="118">
        <v>0</v>
      </c>
      <c r="N63" s="118">
        <v>0</v>
      </c>
      <c r="O63" s="118">
        <v>0</v>
      </c>
      <c r="P63" s="118">
        <v>0</v>
      </c>
      <c r="Q63" s="118">
        <v>0</v>
      </c>
      <c r="R63" s="118">
        <v>0</v>
      </c>
      <c r="S63" s="118">
        <v>0</v>
      </c>
      <c r="T63" s="118">
        <v>0</v>
      </c>
      <c r="U63" s="118">
        <v>0</v>
      </c>
      <c r="V63" s="118">
        <v>0</v>
      </c>
      <c r="W63" s="64"/>
    </row>
    <row r="64" spans="1:23" s="17" customFormat="1" x14ac:dyDescent="0.2">
      <c r="A64" s="154"/>
      <c r="B64" s="7" t="s">
        <v>209</v>
      </c>
      <c r="C64" s="6" t="s">
        <v>210</v>
      </c>
      <c r="D64" s="79">
        <v>60000000</v>
      </c>
      <c r="E64" s="79">
        <v>0</v>
      </c>
      <c r="F64" s="79">
        <v>0</v>
      </c>
      <c r="G64" s="79">
        <v>0</v>
      </c>
      <c r="H64" s="79">
        <v>0</v>
      </c>
      <c r="I64" s="79">
        <f t="shared" si="38"/>
        <v>60000000</v>
      </c>
      <c r="J64" s="118"/>
      <c r="K64" s="118"/>
      <c r="L64" s="118"/>
      <c r="M64" s="118"/>
      <c r="N64" s="118"/>
      <c r="O64" s="118"/>
      <c r="P64" s="118"/>
      <c r="Q64" s="118"/>
      <c r="R64" s="118"/>
      <c r="S64" s="118"/>
      <c r="T64" s="118"/>
      <c r="U64" s="118"/>
      <c r="V64" s="118"/>
      <c r="W64" s="64"/>
    </row>
    <row r="65" spans="1:66" s="12" customFormat="1" x14ac:dyDescent="0.2">
      <c r="A65" s="154"/>
      <c r="B65" s="24" t="s">
        <v>124</v>
      </c>
      <c r="C65" s="27" t="s">
        <v>125</v>
      </c>
      <c r="D65" s="74">
        <f>D66</f>
        <v>300000000</v>
      </c>
      <c r="E65" s="74">
        <v>0</v>
      </c>
      <c r="F65" s="74">
        <f>F66</f>
        <v>0</v>
      </c>
      <c r="G65" s="74">
        <f>G66</f>
        <v>0</v>
      </c>
      <c r="H65" s="74">
        <f>H66</f>
        <v>0</v>
      </c>
      <c r="I65" s="74">
        <f t="shared" si="38"/>
        <v>300000000</v>
      </c>
      <c r="J65" s="74">
        <f>+J66</f>
        <v>0</v>
      </c>
      <c r="K65" s="74">
        <f t="shared" ref="K65:V65" si="46">+K66</f>
        <v>0</v>
      </c>
      <c r="L65" s="74">
        <f t="shared" si="46"/>
        <v>0</v>
      </c>
      <c r="M65" s="74">
        <f t="shared" si="46"/>
        <v>0</v>
      </c>
      <c r="N65" s="74">
        <f t="shared" si="46"/>
        <v>0</v>
      </c>
      <c r="O65" s="74">
        <f t="shared" si="46"/>
        <v>0</v>
      </c>
      <c r="P65" s="74">
        <f t="shared" si="46"/>
        <v>0</v>
      </c>
      <c r="Q65" s="74">
        <f t="shared" si="46"/>
        <v>0</v>
      </c>
      <c r="R65" s="74">
        <f t="shared" si="46"/>
        <v>0</v>
      </c>
      <c r="S65" s="74">
        <f t="shared" si="46"/>
        <v>0</v>
      </c>
      <c r="T65" s="74">
        <f t="shared" si="46"/>
        <v>0</v>
      </c>
      <c r="U65" s="74">
        <f t="shared" si="46"/>
        <v>0</v>
      </c>
      <c r="V65" s="74">
        <f t="shared" si="46"/>
        <v>0</v>
      </c>
      <c r="W65" s="64"/>
    </row>
    <row r="66" spans="1:66" s="12" customFormat="1" x14ac:dyDescent="0.2">
      <c r="A66" s="154"/>
      <c r="B66" s="7" t="s">
        <v>126</v>
      </c>
      <c r="C66" s="6" t="s">
        <v>127</v>
      </c>
      <c r="D66" s="79">
        <v>300000000</v>
      </c>
      <c r="E66" s="72">
        <v>0</v>
      </c>
      <c r="F66" s="72">
        <v>0</v>
      </c>
      <c r="G66" s="72">
        <v>0</v>
      </c>
      <c r="H66" s="72">
        <v>0</v>
      </c>
      <c r="I66" s="95">
        <f t="shared" si="38"/>
        <v>300000000</v>
      </c>
      <c r="J66" s="72">
        <v>0</v>
      </c>
      <c r="K66" s="83">
        <v>0</v>
      </c>
      <c r="L66" s="83">
        <v>0</v>
      </c>
      <c r="M66" s="83">
        <v>0</v>
      </c>
      <c r="N66" s="83">
        <v>0</v>
      </c>
      <c r="O66" s="83">
        <v>0</v>
      </c>
      <c r="P66" s="83">
        <v>0</v>
      </c>
      <c r="Q66" s="83">
        <v>0</v>
      </c>
      <c r="R66" s="83">
        <v>0</v>
      </c>
      <c r="S66" s="83">
        <v>0</v>
      </c>
      <c r="T66" s="83">
        <v>0</v>
      </c>
      <c r="U66" s="83">
        <v>0</v>
      </c>
      <c r="V66" s="83">
        <v>0</v>
      </c>
      <c r="W66" s="64"/>
    </row>
    <row r="67" spans="1:66" s="12" customFormat="1" ht="25.5" x14ac:dyDescent="0.2">
      <c r="A67" s="154"/>
      <c r="B67" s="24" t="s">
        <v>103</v>
      </c>
      <c r="C67" s="27" t="s">
        <v>104</v>
      </c>
      <c r="D67" s="74">
        <f>+D68+D69+D70</f>
        <v>141000000</v>
      </c>
      <c r="E67" s="74">
        <f>SUM(E68:E68)</f>
        <v>0</v>
      </c>
      <c r="F67" s="74">
        <f>SUM(F68:F68)</f>
        <v>0</v>
      </c>
      <c r="G67" s="74">
        <f>SUM(G68:G68)</f>
        <v>0</v>
      </c>
      <c r="H67" s="74">
        <f>SUM(H68:H68)</f>
        <v>0</v>
      </c>
      <c r="I67" s="74">
        <f t="shared" si="38"/>
        <v>141000000</v>
      </c>
      <c r="J67" s="74">
        <f>J68+J69+J70</f>
        <v>0</v>
      </c>
      <c r="K67" s="74">
        <f t="shared" ref="K67:V67" si="47">K68+K69+K70</f>
        <v>0</v>
      </c>
      <c r="L67" s="74">
        <f t="shared" si="47"/>
        <v>0</v>
      </c>
      <c r="M67" s="74">
        <f t="shared" si="47"/>
        <v>0</v>
      </c>
      <c r="N67" s="74">
        <f t="shared" si="47"/>
        <v>0</v>
      </c>
      <c r="O67" s="74">
        <f t="shared" si="47"/>
        <v>0</v>
      </c>
      <c r="P67" s="74">
        <f t="shared" si="47"/>
        <v>0</v>
      </c>
      <c r="Q67" s="74">
        <f t="shared" si="47"/>
        <v>0</v>
      </c>
      <c r="R67" s="74">
        <f t="shared" si="47"/>
        <v>0</v>
      </c>
      <c r="S67" s="74">
        <f t="shared" si="47"/>
        <v>0</v>
      </c>
      <c r="T67" s="74">
        <f t="shared" si="47"/>
        <v>0</v>
      </c>
      <c r="U67" s="74">
        <f t="shared" si="47"/>
        <v>0</v>
      </c>
      <c r="V67" s="74">
        <f t="shared" si="47"/>
        <v>0</v>
      </c>
      <c r="W67" s="64"/>
    </row>
    <row r="68" spans="1:66" s="17" customFormat="1" x14ac:dyDescent="0.2">
      <c r="A68" s="154"/>
      <c r="B68" s="7" t="s">
        <v>116</v>
      </c>
      <c r="C68" s="6" t="s">
        <v>115</v>
      </c>
      <c r="D68" s="79">
        <v>20000000</v>
      </c>
      <c r="E68" s="79">
        <v>0</v>
      </c>
      <c r="F68" s="79">
        <v>0</v>
      </c>
      <c r="G68" s="79">
        <v>0</v>
      </c>
      <c r="H68" s="79">
        <v>0</v>
      </c>
      <c r="I68" s="79">
        <f t="shared" si="38"/>
        <v>20000000</v>
      </c>
      <c r="J68" s="79"/>
      <c r="K68" s="79"/>
      <c r="L68" s="79"/>
      <c r="M68" s="79"/>
      <c r="N68" s="79"/>
      <c r="O68" s="79"/>
      <c r="P68" s="79"/>
      <c r="Q68" s="79"/>
      <c r="R68" s="79"/>
      <c r="S68" s="79"/>
      <c r="T68" s="79"/>
      <c r="U68" s="79"/>
      <c r="V68" s="79"/>
      <c r="W68" s="64"/>
    </row>
    <row r="69" spans="1:66" s="17" customFormat="1" x14ac:dyDescent="0.2">
      <c r="A69" s="154"/>
      <c r="B69" s="92" t="s">
        <v>191</v>
      </c>
      <c r="C69" s="6" t="s">
        <v>115</v>
      </c>
      <c r="D69" s="79">
        <v>100000000</v>
      </c>
      <c r="E69" s="79">
        <v>0</v>
      </c>
      <c r="F69" s="79">
        <v>0</v>
      </c>
      <c r="G69" s="79">
        <v>0</v>
      </c>
      <c r="H69" s="79">
        <v>0</v>
      </c>
      <c r="I69" s="79">
        <f t="shared" si="38"/>
        <v>100000000</v>
      </c>
      <c r="J69" s="79">
        <v>0</v>
      </c>
      <c r="K69" s="79">
        <v>0</v>
      </c>
      <c r="L69" s="79">
        <v>0</v>
      </c>
      <c r="M69" s="79">
        <v>0</v>
      </c>
      <c r="N69" s="79">
        <v>0</v>
      </c>
      <c r="O69" s="79">
        <v>0</v>
      </c>
      <c r="P69" s="79">
        <v>0</v>
      </c>
      <c r="Q69" s="79">
        <v>0</v>
      </c>
      <c r="R69" s="79">
        <v>0</v>
      </c>
      <c r="S69" s="79">
        <v>0</v>
      </c>
      <c r="T69" s="79">
        <v>0</v>
      </c>
      <c r="U69" s="79">
        <v>0</v>
      </c>
      <c r="V69" s="79">
        <v>0</v>
      </c>
      <c r="W69" s="64"/>
    </row>
    <row r="70" spans="1:66" s="17" customFormat="1" x14ac:dyDescent="0.2">
      <c r="A70" s="154"/>
      <c r="B70" s="7" t="s">
        <v>122</v>
      </c>
      <c r="C70" s="6" t="s">
        <v>123</v>
      </c>
      <c r="D70" s="79">
        <v>21000000</v>
      </c>
      <c r="E70" s="79"/>
      <c r="F70" s="79"/>
      <c r="G70" s="79"/>
      <c r="H70" s="79"/>
      <c r="I70" s="79">
        <f t="shared" si="38"/>
        <v>21000000</v>
      </c>
      <c r="J70" s="79">
        <v>0</v>
      </c>
      <c r="K70" s="79">
        <v>0</v>
      </c>
      <c r="L70" s="79">
        <v>0</v>
      </c>
      <c r="M70" s="79">
        <v>0</v>
      </c>
      <c r="N70" s="79">
        <v>0</v>
      </c>
      <c r="O70" s="79">
        <v>0</v>
      </c>
      <c r="P70" s="79">
        <v>0</v>
      </c>
      <c r="Q70" s="79">
        <v>0</v>
      </c>
      <c r="R70" s="79">
        <v>0</v>
      </c>
      <c r="S70" s="79">
        <v>0</v>
      </c>
      <c r="T70" s="79">
        <v>0</v>
      </c>
      <c r="U70" s="79">
        <v>0</v>
      </c>
      <c r="V70" s="79">
        <v>0</v>
      </c>
      <c r="W70" s="64"/>
    </row>
    <row r="71" spans="1:66" s="12" customFormat="1" x14ac:dyDescent="0.2">
      <c r="A71" s="154"/>
      <c r="B71" s="4"/>
      <c r="C71" s="172" t="s">
        <v>121</v>
      </c>
      <c r="D71" s="72">
        <v>0</v>
      </c>
      <c r="E71" s="72">
        <f>E72+E73</f>
        <v>0</v>
      </c>
      <c r="F71" s="72">
        <f>F72+F73</f>
        <v>0</v>
      </c>
      <c r="G71" s="72">
        <f>G72+G73</f>
        <v>0</v>
      </c>
      <c r="H71" s="72">
        <f>H72+H73</f>
        <v>0</v>
      </c>
      <c r="I71" s="72">
        <f t="shared" si="38"/>
        <v>0</v>
      </c>
      <c r="J71" s="72">
        <f t="shared" ref="J71:V71" si="48">J72+J73</f>
        <v>0</v>
      </c>
      <c r="K71" s="72">
        <f t="shared" si="48"/>
        <v>0</v>
      </c>
      <c r="L71" s="72">
        <f t="shared" si="48"/>
        <v>0</v>
      </c>
      <c r="M71" s="72">
        <f t="shared" si="48"/>
        <v>0</v>
      </c>
      <c r="N71" s="72">
        <f t="shared" si="48"/>
        <v>0</v>
      </c>
      <c r="O71" s="72">
        <f t="shared" si="48"/>
        <v>0</v>
      </c>
      <c r="P71" s="72">
        <f t="shared" si="48"/>
        <v>0</v>
      </c>
      <c r="Q71" s="72">
        <f t="shared" si="48"/>
        <v>0</v>
      </c>
      <c r="R71" s="72">
        <f t="shared" si="48"/>
        <v>0</v>
      </c>
      <c r="S71" s="72">
        <f t="shared" si="48"/>
        <v>0</v>
      </c>
      <c r="T71" s="72">
        <f t="shared" si="48"/>
        <v>0</v>
      </c>
      <c r="U71" s="72">
        <f t="shared" si="48"/>
        <v>0</v>
      </c>
      <c r="V71" s="72">
        <f t="shared" si="48"/>
        <v>0</v>
      </c>
      <c r="W71" s="64"/>
    </row>
    <row r="72" spans="1:66" s="12" customFormat="1" x14ac:dyDescent="0.2">
      <c r="A72" s="154"/>
      <c r="B72" s="25"/>
      <c r="C72" s="6" t="s">
        <v>16</v>
      </c>
      <c r="D72" s="113">
        <v>0</v>
      </c>
      <c r="E72" s="113">
        <v>0</v>
      </c>
      <c r="F72" s="113">
        <v>0</v>
      </c>
      <c r="G72" s="113">
        <v>0</v>
      </c>
      <c r="H72" s="113">
        <v>0</v>
      </c>
      <c r="I72" s="72">
        <f t="shared" si="38"/>
        <v>0</v>
      </c>
      <c r="J72" s="124">
        <v>0</v>
      </c>
      <c r="K72" s="124">
        <v>0</v>
      </c>
      <c r="L72" s="124">
        <v>0</v>
      </c>
      <c r="M72" s="124">
        <v>0</v>
      </c>
      <c r="N72" s="124">
        <v>0</v>
      </c>
      <c r="O72" s="124">
        <v>0</v>
      </c>
      <c r="P72" s="124">
        <v>0</v>
      </c>
      <c r="Q72" s="124">
        <v>0</v>
      </c>
      <c r="R72" s="124">
        <v>0</v>
      </c>
      <c r="S72" s="124">
        <v>0</v>
      </c>
      <c r="T72" s="124">
        <v>0</v>
      </c>
      <c r="U72" s="124">
        <v>0</v>
      </c>
      <c r="V72" s="124">
        <v>0</v>
      </c>
      <c r="W72" s="64"/>
    </row>
    <row r="73" spans="1:66" s="10" customFormat="1" x14ac:dyDescent="0.2">
      <c r="A73" s="153"/>
      <c r="B73" s="19"/>
      <c r="C73" s="170" t="s">
        <v>17</v>
      </c>
      <c r="D73" s="114">
        <v>0</v>
      </c>
      <c r="E73" s="114">
        <v>0</v>
      </c>
      <c r="F73" s="114">
        <v>0</v>
      </c>
      <c r="G73" s="114">
        <v>0</v>
      </c>
      <c r="H73" s="114">
        <v>0</v>
      </c>
      <c r="I73" s="111">
        <f t="shared" si="38"/>
        <v>0</v>
      </c>
      <c r="J73" s="125">
        <v>0</v>
      </c>
      <c r="K73" s="125">
        <v>0</v>
      </c>
      <c r="L73" s="125">
        <v>0</v>
      </c>
      <c r="M73" s="125">
        <v>0</v>
      </c>
      <c r="N73" s="125">
        <v>0</v>
      </c>
      <c r="O73" s="125">
        <v>0</v>
      </c>
      <c r="P73" s="125">
        <v>0</v>
      </c>
      <c r="Q73" s="125">
        <v>0</v>
      </c>
      <c r="R73" s="125">
        <v>0</v>
      </c>
      <c r="S73" s="125">
        <v>0</v>
      </c>
      <c r="T73" s="125">
        <v>0</v>
      </c>
      <c r="U73" s="125">
        <v>0</v>
      </c>
      <c r="V73" s="125">
        <v>0</v>
      </c>
      <c r="W73" s="64"/>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row>
    <row r="74" spans="1:66" s="26" customFormat="1" ht="32.25" customHeight="1" x14ac:dyDescent="0.2">
      <c r="A74" s="157"/>
      <c r="B74" s="4" t="s">
        <v>52</v>
      </c>
      <c r="C74" s="172" t="s">
        <v>18</v>
      </c>
      <c r="D74" s="72">
        <f>+D75+D90+D97+D106+D110</f>
        <v>90140836027.969986</v>
      </c>
      <c r="E74" s="72">
        <f t="shared" ref="E74:I74" si="49">+E75+E90+E97+E106+E110</f>
        <v>0</v>
      </c>
      <c r="F74" s="72">
        <f t="shared" si="49"/>
        <v>0</v>
      </c>
      <c r="G74" s="72">
        <f t="shared" si="49"/>
        <v>0</v>
      </c>
      <c r="H74" s="72">
        <f t="shared" si="49"/>
        <v>0</v>
      </c>
      <c r="I74" s="72">
        <f t="shared" si="49"/>
        <v>90140836027.969986</v>
      </c>
      <c r="J74" s="72">
        <f>+J75+J90+J97+J106+J110</f>
        <v>0</v>
      </c>
      <c r="K74" s="72">
        <f t="shared" ref="K74:V74" si="50">+K75+K90+K97+K106+K110</f>
        <v>0</v>
      </c>
      <c r="L74" s="72">
        <f t="shared" si="50"/>
        <v>0</v>
      </c>
      <c r="M74" s="72">
        <f t="shared" si="50"/>
        <v>0</v>
      </c>
      <c r="N74" s="72">
        <f t="shared" si="50"/>
        <v>0</v>
      </c>
      <c r="O74" s="72">
        <f t="shared" si="50"/>
        <v>0</v>
      </c>
      <c r="P74" s="72">
        <f t="shared" si="50"/>
        <v>0</v>
      </c>
      <c r="Q74" s="72">
        <f t="shared" si="50"/>
        <v>0</v>
      </c>
      <c r="R74" s="72">
        <f t="shared" si="50"/>
        <v>0</v>
      </c>
      <c r="S74" s="72">
        <f t="shared" si="50"/>
        <v>0</v>
      </c>
      <c r="T74" s="72">
        <f t="shared" si="50"/>
        <v>0</v>
      </c>
      <c r="U74" s="72">
        <f t="shared" si="50"/>
        <v>0</v>
      </c>
      <c r="V74" s="72">
        <f t="shared" si="50"/>
        <v>0</v>
      </c>
      <c r="W74" s="64"/>
    </row>
    <row r="75" spans="1:66" s="28" customFormat="1" x14ac:dyDescent="0.2">
      <c r="A75" s="158"/>
      <c r="B75" s="24" t="s">
        <v>143</v>
      </c>
      <c r="C75" s="27" t="s">
        <v>51</v>
      </c>
      <c r="D75" s="74">
        <f>D76+D79+D81+D84+D87</f>
        <v>8248505682.5699997</v>
      </c>
      <c r="E75" s="74">
        <f t="shared" ref="E75:H75" si="51">E76+E79+E81+E84+E87</f>
        <v>0</v>
      </c>
      <c r="F75" s="74">
        <f t="shared" si="51"/>
        <v>0</v>
      </c>
      <c r="G75" s="74">
        <f t="shared" si="51"/>
        <v>0</v>
      </c>
      <c r="H75" s="74">
        <f t="shared" si="51"/>
        <v>0</v>
      </c>
      <c r="I75" s="74">
        <f t="shared" si="38"/>
        <v>8248505682.5699997</v>
      </c>
      <c r="J75" s="75">
        <f>+J76+J79+J81+J84+J87</f>
        <v>0</v>
      </c>
      <c r="K75" s="75">
        <f t="shared" ref="K75:V75" si="52">+K76+K79+K81+K84+K87</f>
        <v>0</v>
      </c>
      <c r="L75" s="75">
        <f t="shared" si="52"/>
        <v>0</v>
      </c>
      <c r="M75" s="75">
        <f t="shared" si="52"/>
        <v>0</v>
      </c>
      <c r="N75" s="75">
        <f t="shared" si="52"/>
        <v>0</v>
      </c>
      <c r="O75" s="75">
        <f t="shared" si="52"/>
        <v>0</v>
      </c>
      <c r="P75" s="75">
        <f t="shared" si="52"/>
        <v>0</v>
      </c>
      <c r="Q75" s="75">
        <f t="shared" si="52"/>
        <v>0</v>
      </c>
      <c r="R75" s="75">
        <f t="shared" si="52"/>
        <v>0</v>
      </c>
      <c r="S75" s="75">
        <f t="shared" si="52"/>
        <v>0</v>
      </c>
      <c r="T75" s="75">
        <f t="shared" si="52"/>
        <v>0</v>
      </c>
      <c r="U75" s="75">
        <f t="shared" si="52"/>
        <v>0</v>
      </c>
      <c r="V75" s="75">
        <f t="shared" si="52"/>
        <v>0</v>
      </c>
      <c r="W75" s="64"/>
    </row>
    <row r="76" spans="1:66" s="29" customFormat="1" ht="97.5" customHeight="1" x14ac:dyDescent="0.2">
      <c r="A76" s="158"/>
      <c r="B76" s="23" t="s">
        <v>137</v>
      </c>
      <c r="C76" s="5" t="s">
        <v>229</v>
      </c>
      <c r="D76" s="76">
        <f>SUM(D77:D78)</f>
        <v>2380952380.9499998</v>
      </c>
      <c r="E76" s="77">
        <f>SUM(E77:E77)</f>
        <v>0</v>
      </c>
      <c r="F76" s="77">
        <f>SUM(F77:F77)</f>
        <v>0</v>
      </c>
      <c r="G76" s="77">
        <f>SUM(G77:G77)</f>
        <v>0</v>
      </c>
      <c r="H76" s="77">
        <f>SUM(H77:H77)</f>
        <v>0</v>
      </c>
      <c r="I76" s="76">
        <f>+D76+E76-F76+G76-H76</f>
        <v>2380952380.9499998</v>
      </c>
      <c r="J76" s="78">
        <f t="shared" ref="J76:U76" si="53">SUM(J77:J78)</f>
        <v>0</v>
      </c>
      <c r="K76" s="78">
        <f t="shared" ref="K76:V76" si="54">SUM(K77:K78)</f>
        <v>0</v>
      </c>
      <c r="L76" s="78">
        <f t="shared" si="54"/>
        <v>0</v>
      </c>
      <c r="M76" s="78">
        <f t="shared" si="54"/>
        <v>0</v>
      </c>
      <c r="N76" s="78">
        <f t="shared" si="54"/>
        <v>0</v>
      </c>
      <c r="O76" s="78">
        <f t="shared" si="54"/>
        <v>0</v>
      </c>
      <c r="P76" s="78">
        <f t="shared" si="54"/>
        <v>0</v>
      </c>
      <c r="Q76" s="78">
        <f t="shared" si="54"/>
        <v>0</v>
      </c>
      <c r="R76" s="78">
        <f t="shared" si="54"/>
        <v>0</v>
      </c>
      <c r="S76" s="78">
        <f t="shared" si="54"/>
        <v>0</v>
      </c>
      <c r="T76" s="78">
        <f t="shared" si="54"/>
        <v>0</v>
      </c>
      <c r="U76" s="78">
        <f t="shared" si="54"/>
        <v>0</v>
      </c>
      <c r="V76" s="78">
        <f t="shared" si="54"/>
        <v>0</v>
      </c>
      <c r="W76" s="64"/>
    </row>
    <row r="77" spans="1:66" s="29" customFormat="1" x14ac:dyDescent="0.2">
      <c r="A77" s="158"/>
      <c r="B77" s="7" t="s">
        <v>138</v>
      </c>
      <c r="C77" s="6" t="s">
        <v>107</v>
      </c>
      <c r="D77" s="80">
        <v>1690476190.48</v>
      </c>
      <c r="E77" s="79">
        <v>0</v>
      </c>
      <c r="F77" s="79">
        <v>0</v>
      </c>
      <c r="G77" s="79">
        <v>0</v>
      </c>
      <c r="H77" s="79">
        <v>0</v>
      </c>
      <c r="I77" s="80">
        <f t="shared" ref="I77:I101" si="55">+D77+E77-F77+G77-H77</f>
        <v>1690476190.48</v>
      </c>
      <c r="J77" s="79">
        <v>0</v>
      </c>
      <c r="K77" s="79">
        <v>0</v>
      </c>
      <c r="L77" s="79">
        <v>0</v>
      </c>
      <c r="M77" s="79">
        <v>0</v>
      </c>
      <c r="N77" s="79">
        <v>0</v>
      </c>
      <c r="O77" s="79">
        <v>0</v>
      </c>
      <c r="P77" s="79">
        <v>0</v>
      </c>
      <c r="Q77" s="79">
        <v>0</v>
      </c>
      <c r="R77" s="79">
        <v>0</v>
      </c>
      <c r="S77" s="79">
        <v>0</v>
      </c>
      <c r="T77" s="79">
        <v>0</v>
      </c>
      <c r="U77" s="79">
        <v>0</v>
      </c>
      <c r="V77" s="79">
        <v>0</v>
      </c>
      <c r="W77" s="64"/>
    </row>
    <row r="78" spans="1:66" s="29" customFormat="1" ht="35.25" customHeight="1" x14ac:dyDescent="0.2">
      <c r="A78" s="158"/>
      <c r="B78" s="7" t="s">
        <v>140</v>
      </c>
      <c r="C78" s="6" t="s">
        <v>53</v>
      </c>
      <c r="D78" s="80">
        <v>690476190.47000003</v>
      </c>
      <c r="E78" s="79"/>
      <c r="F78" s="79"/>
      <c r="G78" s="79"/>
      <c r="H78" s="79"/>
      <c r="I78" s="80">
        <f t="shared" si="55"/>
        <v>690476190.47000003</v>
      </c>
      <c r="J78" s="79">
        <v>0</v>
      </c>
      <c r="K78" s="79">
        <v>0</v>
      </c>
      <c r="L78" s="79">
        <v>0</v>
      </c>
      <c r="M78" s="79">
        <v>0</v>
      </c>
      <c r="N78" s="79">
        <v>0</v>
      </c>
      <c r="O78" s="79">
        <v>0</v>
      </c>
      <c r="P78" s="79">
        <v>0</v>
      </c>
      <c r="Q78" s="79">
        <v>0</v>
      </c>
      <c r="R78" s="79">
        <v>0</v>
      </c>
      <c r="S78" s="79">
        <v>0</v>
      </c>
      <c r="T78" s="79">
        <v>0</v>
      </c>
      <c r="U78" s="79">
        <v>0</v>
      </c>
      <c r="V78" s="79">
        <v>0</v>
      </c>
      <c r="W78" s="64"/>
    </row>
    <row r="79" spans="1:66" s="29" customFormat="1" ht="90.75" customHeight="1" x14ac:dyDescent="0.2">
      <c r="A79" s="158"/>
      <c r="B79" s="23" t="s">
        <v>139</v>
      </c>
      <c r="C79" s="5" t="s">
        <v>230</v>
      </c>
      <c r="D79" s="76">
        <f>SUM(D80:D80)</f>
        <v>437764030.12</v>
      </c>
      <c r="E79" s="76">
        <f>SUM(E80:E80)</f>
        <v>0</v>
      </c>
      <c r="F79" s="76">
        <f>SUM(F80:F80)</f>
        <v>0</v>
      </c>
      <c r="G79" s="76">
        <f>SUM(G80:G80)</f>
        <v>0</v>
      </c>
      <c r="H79" s="76">
        <f>SUM(H80:H80)</f>
        <v>0</v>
      </c>
      <c r="I79" s="76">
        <f t="shared" si="55"/>
        <v>437764030.12</v>
      </c>
      <c r="J79" s="81">
        <f>+J80</f>
        <v>0</v>
      </c>
      <c r="K79" s="81">
        <f t="shared" ref="K79:V79" si="56">+K80</f>
        <v>0</v>
      </c>
      <c r="L79" s="81">
        <f t="shared" si="56"/>
        <v>0</v>
      </c>
      <c r="M79" s="81">
        <f t="shared" si="56"/>
        <v>0</v>
      </c>
      <c r="N79" s="81">
        <f t="shared" si="56"/>
        <v>0</v>
      </c>
      <c r="O79" s="81">
        <f t="shared" si="56"/>
        <v>0</v>
      </c>
      <c r="P79" s="81">
        <f t="shared" si="56"/>
        <v>0</v>
      </c>
      <c r="Q79" s="81">
        <f t="shared" si="56"/>
        <v>0</v>
      </c>
      <c r="R79" s="81">
        <f t="shared" si="56"/>
        <v>0</v>
      </c>
      <c r="S79" s="81">
        <f t="shared" si="56"/>
        <v>0</v>
      </c>
      <c r="T79" s="81">
        <f t="shared" si="56"/>
        <v>0</v>
      </c>
      <c r="U79" s="81">
        <f t="shared" si="56"/>
        <v>0</v>
      </c>
      <c r="V79" s="81">
        <f t="shared" si="56"/>
        <v>0</v>
      </c>
      <c r="W79" s="64"/>
    </row>
    <row r="80" spans="1:66" s="29" customFormat="1" ht="29.25" customHeight="1" x14ac:dyDescent="0.2">
      <c r="A80" s="158"/>
      <c r="B80" s="7" t="s">
        <v>140</v>
      </c>
      <c r="C80" s="98" t="s">
        <v>53</v>
      </c>
      <c r="D80" s="82">
        <v>437764030.12</v>
      </c>
      <c r="E80" s="79">
        <v>0</v>
      </c>
      <c r="F80" s="79">
        <v>0</v>
      </c>
      <c r="G80" s="79">
        <v>0</v>
      </c>
      <c r="H80" s="79">
        <v>0</v>
      </c>
      <c r="I80" s="80">
        <f t="shared" si="55"/>
        <v>437764030.12</v>
      </c>
      <c r="J80" s="79">
        <v>0</v>
      </c>
      <c r="K80" s="83">
        <v>0</v>
      </c>
      <c r="L80" s="83">
        <v>0</v>
      </c>
      <c r="M80" s="83">
        <v>0</v>
      </c>
      <c r="N80" s="83">
        <v>0</v>
      </c>
      <c r="O80" s="83">
        <v>0</v>
      </c>
      <c r="P80" s="83">
        <v>0</v>
      </c>
      <c r="Q80" s="83">
        <v>0</v>
      </c>
      <c r="R80" s="83">
        <v>0</v>
      </c>
      <c r="S80" s="83">
        <v>0</v>
      </c>
      <c r="T80" s="83">
        <v>0</v>
      </c>
      <c r="U80" s="83">
        <v>0</v>
      </c>
      <c r="V80" s="83">
        <v>0</v>
      </c>
      <c r="W80" s="64"/>
      <c r="Z80" s="64"/>
      <c r="AA80" s="64"/>
      <c r="AB80" s="64"/>
      <c r="AC80" s="64"/>
      <c r="AD80" s="64"/>
      <c r="AE80" s="64"/>
      <c r="AF80" s="64"/>
    </row>
    <row r="81" spans="1:32" s="29" customFormat="1" ht="90.75" customHeight="1" x14ac:dyDescent="0.2">
      <c r="A81" s="158"/>
      <c r="B81" s="23" t="s">
        <v>192</v>
      </c>
      <c r="C81" s="5" t="s">
        <v>211</v>
      </c>
      <c r="D81" s="76">
        <f>D82+D83</f>
        <v>1777653047.8999999</v>
      </c>
      <c r="E81" s="76">
        <f>SUM(E83:E90)</f>
        <v>0</v>
      </c>
      <c r="F81" s="76">
        <f>SUM(F83:F90)</f>
        <v>0</v>
      </c>
      <c r="G81" s="76">
        <f>SUM(G83:G90)</f>
        <v>0</v>
      </c>
      <c r="H81" s="76">
        <f>SUM(H83:H90)</f>
        <v>0</v>
      </c>
      <c r="I81" s="76">
        <f t="shared" si="55"/>
        <v>1777653047.8999999</v>
      </c>
      <c r="J81" s="81">
        <f>J82+J83</f>
        <v>0</v>
      </c>
      <c r="K81" s="81">
        <f t="shared" ref="K81:V81" si="57">K82+K83</f>
        <v>0</v>
      </c>
      <c r="L81" s="81">
        <f t="shared" si="57"/>
        <v>0</v>
      </c>
      <c r="M81" s="81">
        <f t="shared" si="57"/>
        <v>0</v>
      </c>
      <c r="N81" s="81">
        <f t="shared" si="57"/>
        <v>0</v>
      </c>
      <c r="O81" s="81">
        <f t="shared" si="57"/>
        <v>0</v>
      </c>
      <c r="P81" s="81">
        <f t="shared" si="57"/>
        <v>0</v>
      </c>
      <c r="Q81" s="81">
        <f t="shared" si="57"/>
        <v>0</v>
      </c>
      <c r="R81" s="81">
        <f t="shared" si="57"/>
        <v>0</v>
      </c>
      <c r="S81" s="81">
        <f t="shared" si="57"/>
        <v>0</v>
      </c>
      <c r="T81" s="81">
        <f t="shared" si="57"/>
        <v>0</v>
      </c>
      <c r="U81" s="81">
        <f t="shared" si="57"/>
        <v>0</v>
      </c>
      <c r="V81" s="81">
        <f t="shared" si="57"/>
        <v>0</v>
      </c>
      <c r="W81" s="64"/>
    </row>
    <row r="82" spans="1:32" s="29" customFormat="1" ht="13.5" customHeight="1" x14ac:dyDescent="0.2">
      <c r="A82" s="158"/>
      <c r="B82" s="92" t="s">
        <v>225</v>
      </c>
      <c r="C82" s="6" t="s">
        <v>107</v>
      </c>
      <c r="D82" s="82">
        <v>1633397231.5999999</v>
      </c>
      <c r="E82" s="79">
        <v>0</v>
      </c>
      <c r="F82" s="79">
        <v>0</v>
      </c>
      <c r="G82" s="79">
        <v>0</v>
      </c>
      <c r="H82" s="79">
        <v>0</v>
      </c>
      <c r="I82" s="80">
        <f t="shared" si="55"/>
        <v>1633397231.5999999</v>
      </c>
      <c r="J82" s="79">
        <v>0</v>
      </c>
      <c r="K82" s="79">
        <v>0</v>
      </c>
      <c r="L82" s="79">
        <v>0</v>
      </c>
      <c r="M82" s="79">
        <v>0</v>
      </c>
      <c r="N82" s="79">
        <v>0</v>
      </c>
      <c r="O82" s="79">
        <v>0</v>
      </c>
      <c r="P82" s="79">
        <v>0</v>
      </c>
      <c r="Q82" s="79">
        <v>0</v>
      </c>
      <c r="R82" s="79">
        <v>0</v>
      </c>
      <c r="S82" s="79">
        <v>0</v>
      </c>
      <c r="T82" s="79">
        <v>0</v>
      </c>
      <c r="U82" s="79">
        <v>0</v>
      </c>
      <c r="V82" s="79">
        <v>0</v>
      </c>
      <c r="W82" s="64"/>
      <c r="Z82" s="64"/>
      <c r="AA82" s="64"/>
      <c r="AB82" s="64"/>
      <c r="AC82" s="64"/>
      <c r="AD82" s="64"/>
      <c r="AE82" s="64"/>
      <c r="AF82" s="64"/>
    </row>
    <row r="83" spans="1:32" s="29" customFormat="1" ht="26.25" customHeight="1" x14ac:dyDescent="0.2">
      <c r="A83" s="158"/>
      <c r="B83" s="92" t="s">
        <v>228</v>
      </c>
      <c r="C83" s="98" t="s">
        <v>53</v>
      </c>
      <c r="D83" s="82">
        <v>144255816.30000001</v>
      </c>
      <c r="E83" s="79">
        <v>0</v>
      </c>
      <c r="F83" s="79">
        <v>0</v>
      </c>
      <c r="G83" s="79">
        <v>0</v>
      </c>
      <c r="H83" s="79">
        <v>0</v>
      </c>
      <c r="I83" s="80">
        <f t="shared" si="55"/>
        <v>144255816.30000001</v>
      </c>
      <c r="J83" s="79">
        <v>0</v>
      </c>
      <c r="K83" s="79">
        <v>0</v>
      </c>
      <c r="L83" s="79">
        <v>0</v>
      </c>
      <c r="M83" s="79">
        <v>0</v>
      </c>
      <c r="N83" s="79">
        <v>0</v>
      </c>
      <c r="O83" s="79">
        <v>0</v>
      </c>
      <c r="P83" s="79">
        <v>0</v>
      </c>
      <c r="Q83" s="79">
        <v>0</v>
      </c>
      <c r="R83" s="79">
        <v>0</v>
      </c>
      <c r="S83" s="79">
        <v>0</v>
      </c>
      <c r="T83" s="79">
        <v>0</v>
      </c>
      <c r="U83" s="79">
        <v>0</v>
      </c>
      <c r="V83" s="79">
        <v>0</v>
      </c>
      <c r="W83" s="64"/>
      <c r="Z83" s="64"/>
      <c r="AA83" s="64"/>
      <c r="AB83" s="64"/>
      <c r="AC83" s="64"/>
      <c r="AD83" s="64"/>
      <c r="AE83" s="64"/>
      <c r="AF83" s="64"/>
    </row>
    <row r="84" spans="1:32" s="29" customFormat="1" ht="90.75" customHeight="1" x14ac:dyDescent="0.2">
      <c r="A84" s="158"/>
      <c r="B84" s="23" t="s">
        <v>213</v>
      </c>
      <c r="C84" s="5" t="s">
        <v>212</v>
      </c>
      <c r="D84" s="76">
        <f>D85+D86</f>
        <v>1940036179</v>
      </c>
      <c r="E84" s="76">
        <f>SUM(E86:E92)</f>
        <v>0</v>
      </c>
      <c r="F84" s="76">
        <f>SUM(F86:F92)</f>
        <v>0</v>
      </c>
      <c r="G84" s="76">
        <f>SUM(G86:G92)</f>
        <v>0</v>
      </c>
      <c r="H84" s="76">
        <f>SUM(H86:H92)</f>
        <v>0</v>
      </c>
      <c r="I84" s="76">
        <f t="shared" si="55"/>
        <v>1940036179</v>
      </c>
      <c r="J84" s="81">
        <f>J85+J86</f>
        <v>0</v>
      </c>
      <c r="K84" s="81">
        <f t="shared" ref="K84:V84" si="58">K85+K86</f>
        <v>0</v>
      </c>
      <c r="L84" s="81">
        <f t="shared" si="58"/>
        <v>0</v>
      </c>
      <c r="M84" s="81">
        <f t="shared" si="58"/>
        <v>0</v>
      </c>
      <c r="N84" s="81">
        <f t="shared" si="58"/>
        <v>0</v>
      </c>
      <c r="O84" s="81">
        <f t="shared" si="58"/>
        <v>0</v>
      </c>
      <c r="P84" s="81">
        <f t="shared" si="58"/>
        <v>0</v>
      </c>
      <c r="Q84" s="81">
        <f t="shared" si="58"/>
        <v>0</v>
      </c>
      <c r="R84" s="81">
        <f t="shared" si="58"/>
        <v>0</v>
      </c>
      <c r="S84" s="81">
        <f t="shared" si="58"/>
        <v>0</v>
      </c>
      <c r="T84" s="81">
        <f t="shared" si="58"/>
        <v>0</v>
      </c>
      <c r="U84" s="81">
        <f t="shared" si="58"/>
        <v>0</v>
      </c>
      <c r="V84" s="81">
        <f t="shared" si="58"/>
        <v>0</v>
      </c>
      <c r="W84" s="64"/>
    </row>
    <row r="85" spans="1:32" s="29" customFormat="1" ht="13.5" customHeight="1" x14ac:dyDescent="0.2">
      <c r="A85" s="158"/>
      <c r="B85" s="92" t="s">
        <v>226</v>
      </c>
      <c r="C85" s="6" t="s">
        <v>107</v>
      </c>
      <c r="D85" s="82">
        <v>1747821909</v>
      </c>
      <c r="E85" s="79">
        <v>0</v>
      </c>
      <c r="F85" s="79">
        <v>0</v>
      </c>
      <c r="G85" s="79">
        <v>0</v>
      </c>
      <c r="H85" s="79">
        <v>0</v>
      </c>
      <c r="I85" s="80">
        <f t="shared" si="55"/>
        <v>1747821909</v>
      </c>
      <c r="J85" s="63">
        <v>0</v>
      </c>
      <c r="K85" s="63">
        <v>0</v>
      </c>
      <c r="L85" s="63">
        <v>0</v>
      </c>
      <c r="M85" s="63">
        <v>0</v>
      </c>
      <c r="N85" s="63">
        <v>0</v>
      </c>
      <c r="O85" s="63">
        <v>0</v>
      </c>
      <c r="P85" s="63">
        <v>0</v>
      </c>
      <c r="Q85" s="63">
        <v>0</v>
      </c>
      <c r="R85" s="63">
        <v>0</v>
      </c>
      <c r="S85" s="63">
        <v>0</v>
      </c>
      <c r="T85" s="63">
        <v>0</v>
      </c>
      <c r="U85" s="63">
        <v>0</v>
      </c>
      <c r="V85" s="63">
        <v>0</v>
      </c>
      <c r="W85" s="64"/>
      <c r="Z85" s="64"/>
      <c r="AA85" s="64"/>
      <c r="AB85" s="64"/>
      <c r="AC85" s="64"/>
      <c r="AD85" s="64"/>
      <c r="AE85" s="64"/>
      <c r="AF85" s="64"/>
    </row>
    <row r="86" spans="1:32" s="29" customFormat="1" ht="33" customHeight="1" x14ac:dyDescent="0.2">
      <c r="A86" s="158"/>
      <c r="B86" s="92" t="s">
        <v>223</v>
      </c>
      <c r="C86" s="98" t="s">
        <v>53</v>
      </c>
      <c r="D86" s="82">
        <v>192214270</v>
      </c>
      <c r="E86" s="79">
        <v>0</v>
      </c>
      <c r="F86" s="79">
        <v>0</v>
      </c>
      <c r="G86" s="79">
        <v>0</v>
      </c>
      <c r="H86" s="79">
        <v>0</v>
      </c>
      <c r="I86" s="80">
        <f t="shared" si="55"/>
        <v>192214270</v>
      </c>
      <c r="J86" s="63">
        <v>0</v>
      </c>
      <c r="K86" s="63">
        <v>0</v>
      </c>
      <c r="L86" s="63">
        <v>0</v>
      </c>
      <c r="M86" s="63">
        <v>0</v>
      </c>
      <c r="N86" s="63">
        <v>0</v>
      </c>
      <c r="O86" s="63">
        <v>0</v>
      </c>
      <c r="P86" s="63">
        <v>0</v>
      </c>
      <c r="Q86" s="63">
        <v>0</v>
      </c>
      <c r="R86" s="63">
        <v>0</v>
      </c>
      <c r="S86" s="63">
        <v>0</v>
      </c>
      <c r="T86" s="63">
        <v>0</v>
      </c>
      <c r="U86" s="63">
        <v>0</v>
      </c>
      <c r="V86" s="63">
        <v>0</v>
      </c>
      <c r="W86" s="64"/>
      <c r="Z86" s="64"/>
      <c r="AA86" s="64"/>
      <c r="AB86" s="64"/>
      <c r="AC86" s="64"/>
      <c r="AD86" s="64"/>
      <c r="AE86" s="64"/>
      <c r="AF86" s="64"/>
    </row>
    <row r="87" spans="1:32" s="29" customFormat="1" ht="90.75" customHeight="1" x14ac:dyDescent="0.2">
      <c r="A87" s="158"/>
      <c r="B87" s="23" t="s">
        <v>214</v>
      </c>
      <c r="C87" s="5" t="s">
        <v>215</v>
      </c>
      <c r="D87" s="76">
        <f>D88+D89</f>
        <v>1712100044.5999999</v>
      </c>
      <c r="E87" s="76">
        <f>SUM(E89:E98)</f>
        <v>0</v>
      </c>
      <c r="F87" s="76">
        <f>SUM(F89:F98)</f>
        <v>0</v>
      </c>
      <c r="G87" s="76">
        <f>SUM(G89:G98)</f>
        <v>0</v>
      </c>
      <c r="H87" s="76">
        <f>SUM(H89:H98)</f>
        <v>0</v>
      </c>
      <c r="I87" s="76">
        <f t="shared" si="55"/>
        <v>1712100044.5999999</v>
      </c>
      <c r="J87" s="81">
        <f>J88+J89</f>
        <v>0</v>
      </c>
      <c r="K87" s="81">
        <f t="shared" ref="K87:V87" si="59">K88+K89</f>
        <v>0</v>
      </c>
      <c r="L87" s="81">
        <f t="shared" si="59"/>
        <v>0</v>
      </c>
      <c r="M87" s="81">
        <f t="shared" si="59"/>
        <v>0</v>
      </c>
      <c r="N87" s="81">
        <f t="shared" si="59"/>
        <v>0</v>
      </c>
      <c r="O87" s="81">
        <f t="shared" si="59"/>
        <v>0</v>
      </c>
      <c r="P87" s="81">
        <f t="shared" si="59"/>
        <v>0</v>
      </c>
      <c r="Q87" s="81">
        <f t="shared" si="59"/>
        <v>0</v>
      </c>
      <c r="R87" s="81">
        <f t="shared" si="59"/>
        <v>0</v>
      </c>
      <c r="S87" s="81">
        <f t="shared" si="59"/>
        <v>0</v>
      </c>
      <c r="T87" s="81">
        <f t="shared" si="59"/>
        <v>0</v>
      </c>
      <c r="U87" s="81">
        <f t="shared" si="59"/>
        <v>0</v>
      </c>
      <c r="V87" s="81">
        <f t="shared" si="59"/>
        <v>0</v>
      </c>
      <c r="W87" s="64"/>
    </row>
    <row r="88" spans="1:32" s="29" customFormat="1" ht="13.5" customHeight="1" x14ac:dyDescent="0.2">
      <c r="A88" s="158"/>
      <c r="B88" s="92" t="s">
        <v>227</v>
      </c>
      <c r="C88" s="6" t="s">
        <v>107</v>
      </c>
      <c r="D88" s="82">
        <v>1582095352.5</v>
      </c>
      <c r="E88" s="79">
        <v>0</v>
      </c>
      <c r="F88" s="79">
        <v>0</v>
      </c>
      <c r="G88" s="79">
        <v>0</v>
      </c>
      <c r="H88" s="79">
        <v>0</v>
      </c>
      <c r="I88" s="80">
        <f t="shared" si="55"/>
        <v>1582095352.5</v>
      </c>
      <c r="J88" s="63">
        <v>0</v>
      </c>
      <c r="K88" s="63">
        <v>0</v>
      </c>
      <c r="L88" s="63">
        <v>0</v>
      </c>
      <c r="M88" s="63">
        <v>0</v>
      </c>
      <c r="N88" s="63">
        <v>0</v>
      </c>
      <c r="O88" s="63">
        <v>0</v>
      </c>
      <c r="P88" s="63">
        <v>0</v>
      </c>
      <c r="Q88" s="63">
        <v>0</v>
      </c>
      <c r="R88" s="63">
        <v>0</v>
      </c>
      <c r="S88" s="63">
        <v>0</v>
      </c>
      <c r="T88" s="63">
        <v>0</v>
      </c>
      <c r="U88" s="63">
        <v>0</v>
      </c>
      <c r="V88" s="63">
        <v>0</v>
      </c>
      <c r="W88" s="64"/>
      <c r="Z88" s="64"/>
      <c r="AA88" s="64"/>
      <c r="AB88" s="64"/>
      <c r="AC88" s="64"/>
      <c r="AD88" s="64"/>
      <c r="AE88" s="64"/>
      <c r="AF88" s="64"/>
    </row>
    <row r="89" spans="1:32" s="29" customFormat="1" ht="33" customHeight="1" x14ac:dyDescent="0.2">
      <c r="A89" s="158"/>
      <c r="B89" s="92" t="s">
        <v>222</v>
      </c>
      <c r="C89" s="98" t="s">
        <v>53</v>
      </c>
      <c r="D89" s="82">
        <v>130004692.09999999</v>
      </c>
      <c r="E89" s="79">
        <v>0</v>
      </c>
      <c r="F89" s="79">
        <v>0</v>
      </c>
      <c r="G89" s="79">
        <v>0</v>
      </c>
      <c r="H89" s="79">
        <v>0</v>
      </c>
      <c r="I89" s="80">
        <f t="shared" si="55"/>
        <v>130004692.09999999</v>
      </c>
      <c r="J89" s="63">
        <v>0</v>
      </c>
      <c r="K89" s="63">
        <v>0</v>
      </c>
      <c r="L89" s="63">
        <v>0</v>
      </c>
      <c r="M89" s="63">
        <v>0</v>
      </c>
      <c r="N89" s="63">
        <v>0</v>
      </c>
      <c r="O89" s="63">
        <v>0</v>
      </c>
      <c r="P89" s="63">
        <v>0</v>
      </c>
      <c r="Q89" s="63">
        <v>0</v>
      </c>
      <c r="R89" s="63">
        <v>0</v>
      </c>
      <c r="S89" s="63">
        <v>0</v>
      </c>
      <c r="T89" s="63">
        <v>0</v>
      </c>
      <c r="U89" s="63">
        <v>0</v>
      </c>
      <c r="V89" s="63">
        <v>0</v>
      </c>
      <c r="W89" s="64"/>
      <c r="Z89" s="64"/>
      <c r="AA89" s="64"/>
      <c r="AB89" s="64"/>
      <c r="AC89" s="64"/>
      <c r="AD89" s="64"/>
      <c r="AE89" s="64"/>
      <c r="AF89" s="64"/>
    </row>
    <row r="90" spans="1:32" s="29" customFormat="1" x14ac:dyDescent="0.2">
      <c r="A90" s="158"/>
      <c r="B90" s="24" t="s">
        <v>142</v>
      </c>
      <c r="C90" s="27" t="s">
        <v>141</v>
      </c>
      <c r="D90" s="74">
        <f>D91+D94</f>
        <v>6123229897.9699993</v>
      </c>
      <c r="E90" s="74">
        <f t="shared" ref="E90:H90" si="60">E91+E94</f>
        <v>0</v>
      </c>
      <c r="F90" s="74">
        <f t="shared" si="60"/>
        <v>0</v>
      </c>
      <c r="G90" s="74">
        <f t="shared" si="60"/>
        <v>0</v>
      </c>
      <c r="H90" s="74">
        <f t="shared" si="60"/>
        <v>0</v>
      </c>
      <c r="I90" s="74">
        <f t="shared" si="55"/>
        <v>6123229897.9699993</v>
      </c>
      <c r="J90" s="74">
        <f>J91+J94</f>
        <v>0</v>
      </c>
      <c r="K90" s="74">
        <f t="shared" ref="K90:V90" si="61">K91+K94</f>
        <v>0</v>
      </c>
      <c r="L90" s="74">
        <f t="shared" si="61"/>
        <v>0</v>
      </c>
      <c r="M90" s="74">
        <f t="shared" si="61"/>
        <v>0</v>
      </c>
      <c r="N90" s="74">
        <f t="shared" si="61"/>
        <v>0</v>
      </c>
      <c r="O90" s="74">
        <f t="shared" si="61"/>
        <v>0</v>
      </c>
      <c r="P90" s="74">
        <f t="shared" si="61"/>
        <v>0</v>
      </c>
      <c r="Q90" s="74">
        <f t="shared" si="61"/>
        <v>0</v>
      </c>
      <c r="R90" s="74">
        <f t="shared" si="61"/>
        <v>0</v>
      </c>
      <c r="S90" s="74">
        <f t="shared" si="61"/>
        <v>0</v>
      </c>
      <c r="T90" s="74">
        <f t="shared" si="61"/>
        <v>0</v>
      </c>
      <c r="U90" s="74">
        <f t="shared" si="61"/>
        <v>0</v>
      </c>
      <c r="V90" s="74">
        <f t="shared" si="61"/>
        <v>0</v>
      </c>
      <c r="W90" s="64"/>
    </row>
    <row r="91" spans="1:32" s="29" customFormat="1" ht="87.75" customHeight="1" x14ac:dyDescent="0.2">
      <c r="A91" s="158"/>
      <c r="B91" s="23" t="s">
        <v>193</v>
      </c>
      <c r="C91" s="5" t="s">
        <v>216</v>
      </c>
      <c r="D91" s="76">
        <f>D92+D93</f>
        <v>2617848780.52</v>
      </c>
      <c r="E91" s="76">
        <f>E92+E93</f>
        <v>0</v>
      </c>
      <c r="F91" s="76">
        <f>F92+F93</f>
        <v>0</v>
      </c>
      <c r="G91" s="76">
        <f>G92+G93</f>
        <v>0</v>
      </c>
      <c r="H91" s="76">
        <f>H92+H93</f>
        <v>0</v>
      </c>
      <c r="I91" s="76">
        <f t="shared" si="55"/>
        <v>2617848780.52</v>
      </c>
      <c r="J91" s="76">
        <f t="shared" ref="J91:U91" si="62">J92+J93</f>
        <v>0</v>
      </c>
      <c r="K91" s="76">
        <f t="shared" ref="K91:V91" si="63">K92+K93</f>
        <v>0</v>
      </c>
      <c r="L91" s="76">
        <f t="shared" si="63"/>
        <v>0</v>
      </c>
      <c r="M91" s="76">
        <f t="shared" si="63"/>
        <v>0</v>
      </c>
      <c r="N91" s="76">
        <f t="shared" si="63"/>
        <v>0</v>
      </c>
      <c r="O91" s="76">
        <f t="shared" si="63"/>
        <v>0</v>
      </c>
      <c r="P91" s="76">
        <f t="shared" si="63"/>
        <v>0</v>
      </c>
      <c r="Q91" s="76">
        <f t="shared" si="63"/>
        <v>0</v>
      </c>
      <c r="R91" s="76">
        <f t="shared" si="63"/>
        <v>0</v>
      </c>
      <c r="S91" s="76">
        <f t="shared" si="63"/>
        <v>0</v>
      </c>
      <c r="T91" s="76">
        <f t="shared" si="63"/>
        <v>0</v>
      </c>
      <c r="U91" s="76">
        <f t="shared" si="63"/>
        <v>0</v>
      </c>
      <c r="V91" s="76">
        <f t="shared" si="63"/>
        <v>0</v>
      </c>
      <c r="W91" s="64"/>
    </row>
    <row r="92" spans="1:32" s="29" customFormat="1" ht="13.5" customHeight="1" x14ac:dyDescent="0.2">
      <c r="A92" s="158"/>
      <c r="B92" s="7" t="s">
        <v>144</v>
      </c>
      <c r="C92" s="6" t="s">
        <v>107</v>
      </c>
      <c r="D92" s="82">
        <v>2248324355.0799999</v>
      </c>
      <c r="E92" s="79">
        <v>0</v>
      </c>
      <c r="F92" s="79">
        <v>0</v>
      </c>
      <c r="G92" s="79">
        <v>0</v>
      </c>
      <c r="H92" s="79">
        <v>0</v>
      </c>
      <c r="I92" s="80">
        <f t="shared" si="55"/>
        <v>2248324355.0799999</v>
      </c>
      <c r="J92" s="63">
        <v>0</v>
      </c>
      <c r="K92" s="63">
        <v>0</v>
      </c>
      <c r="L92" s="63">
        <v>0</v>
      </c>
      <c r="M92" s="63">
        <v>0</v>
      </c>
      <c r="N92" s="63">
        <v>0</v>
      </c>
      <c r="O92" s="63">
        <v>0</v>
      </c>
      <c r="P92" s="63">
        <v>0</v>
      </c>
      <c r="Q92" s="63">
        <v>0</v>
      </c>
      <c r="R92" s="63">
        <v>0</v>
      </c>
      <c r="S92" s="63">
        <v>0</v>
      </c>
      <c r="T92" s="63">
        <v>0</v>
      </c>
      <c r="U92" s="63">
        <v>0</v>
      </c>
      <c r="V92" s="63">
        <v>0</v>
      </c>
      <c r="W92" s="64"/>
      <c r="Z92" s="64"/>
      <c r="AA92" s="64"/>
      <c r="AB92" s="64"/>
      <c r="AC92" s="64"/>
      <c r="AD92" s="64"/>
      <c r="AE92" s="64"/>
      <c r="AF92" s="64"/>
    </row>
    <row r="93" spans="1:32" s="29" customFormat="1" ht="30.75" customHeight="1" x14ac:dyDescent="0.2">
      <c r="A93" s="158"/>
      <c r="B93" s="7" t="s">
        <v>145</v>
      </c>
      <c r="C93" s="6" t="s">
        <v>53</v>
      </c>
      <c r="D93" s="82">
        <v>369524425.44</v>
      </c>
      <c r="E93" s="79">
        <v>0</v>
      </c>
      <c r="F93" s="79">
        <v>0</v>
      </c>
      <c r="G93" s="79">
        <v>0</v>
      </c>
      <c r="H93" s="79">
        <v>0</v>
      </c>
      <c r="I93" s="80">
        <f t="shared" si="55"/>
        <v>369524425.44</v>
      </c>
      <c r="J93" s="63">
        <v>0</v>
      </c>
      <c r="K93" s="63">
        <v>0</v>
      </c>
      <c r="L93" s="63">
        <v>0</v>
      </c>
      <c r="M93" s="63">
        <v>0</v>
      </c>
      <c r="N93" s="63">
        <v>0</v>
      </c>
      <c r="O93" s="63">
        <v>0</v>
      </c>
      <c r="P93" s="63">
        <v>0</v>
      </c>
      <c r="Q93" s="63">
        <v>0</v>
      </c>
      <c r="R93" s="63">
        <v>0</v>
      </c>
      <c r="S93" s="63">
        <v>0</v>
      </c>
      <c r="T93" s="63">
        <v>0</v>
      </c>
      <c r="U93" s="63">
        <v>0</v>
      </c>
      <c r="V93" s="63">
        <v>0</v>
      </c>
      <c r="W93" s="64"/>
    </row>
    <row r="94" spans="1:32" s="29" customFormat="1" ht="87.75" customHeight="1" x14ac:dyDescent="0.2">
      <c r="A94" s="158"/>
      <c r="B94" s="23" t="s">
        <v>217</v>
      </c>
      <c r="C94" s="5" t="s">
        <v>218</v>
      </c>
      <c r="D94" s="76">
        <f>D95+D96</f>
        <v>3505381117.4499998</v>
      </c>
      <c r="E94" s="76">
        <f>E95+E96</f>
        <v>0</v>
      </c>
      <c r="F94" s="76">
        <f>F95+F96</f>
        <v>0</v>
      </c>
      <c r="G94" s="76">
        <f>G95+G96</f>
        <v>0</v>
      </c>
      <c r="H94" s="76">
        <f>H95+H96</f>
        <v>0</v>
      </c>
      <c r="I94" s="76">
        <f t="shared" si="55"/>
        <v>3505381117.4499998</v>
      </c>
      <c r="J94" s="76">
        <f t="shared" ref="J94:U94" si="64">J95+J96</f>
        <v>0</v>
      </c>
      <c r="K94" s="76">
        <f t="shared" ref="K94:V94" si="65">K95+K96</f>
        <v>0</v>
      </c>
      <c r="L94" s="76">
        <f t="shared" si="65"/>
        <v>0</v>
      </c>
      <c r="M94" s="76">
        <f t="shared" si="65"/>
        <v>0</v>
      </c>
      <c r="N94" s="76">
        <f t="shared" si="65"/>
        <v>0</v>
      </c>
      <c r="O94" s="76">
        <f t="shared" si="65"/>
        <v>0</v>
      </c>
      <c r="P94" s="76">
        <f t="shared" si="65"/>
        <v>0</v>
      </c>
      <c r="Q94" s="76">
        <f t="shared" si="65"/>
        <v>0</v>
      </c>
      <c r="R94" s="76">
        <f t="shared" si="65"/>
        <v>0</v>
      </c>
      <c r="S94" s="76">
        <f t="shared" si="65"/>
        <v>0</v>
      </c>
      <c r="T94" s="76">
        <f t="shared" si="65"/>
        <v>0</v>
      </c>
      <c r="U94" s="76">
        <f t="shared" si="65"/>
        <v>0</v>
      </c>
      <c r="V94" s="76">
        <f t="shared" si="65"/>
        <v>0</v>
      </c>
      <c r="W94" s="64"/>
    </row>
    <row r="95" spans="1:32" s="29" customFormat="1" ht="13.5" customHeight="1" x14ac:dyDescent="0.2">
      <c r="A95" s="158"/>
      <c r="B95" s="92" t="s">
        <v>219</v>
      </c>
      <c r="C95" s="6" t="s">
        <v>107</v>
      </c>
      <c r="D95" s="82">
        <v>3337389103.4400001</v>
      </c>
      <c r="E95" s="79">
        <v>0</v>
      </c>
      <c r="F95" s="79">
        <v>0</v>
      </c>
      <c r="G95" s="79">
        <v>0</v>
      </c>
      <c r="H95" s="79">
        <v>0</v>
      </c>
      <c r="I95" s="80">
        <f t="shared" si="55"/>
        <v>3337389103.4400001</v>
      </c>
      <c r="J95" s="63">
        <v>0</v>
      </c>
      <c r="K95" s="63">
        <v>0</v>
      </c>
      <c r="L95" s="63">
        <v>0</v>
      </c>
      <c r="M95" s="63">
        <v>0</v>
      </c>
      <c r="N95" s="63">
        <v>0</v>
      </c>
      <c r="O95" s="63">
        <v>0</v>
      </c>
      <c r="P95" s="63">
        <v>0</v>
      </c>
      <c r="Q95" s="63">
        <v>0</v>
      </c>
      <c r="R95" s="63">
        <v>0</v>
      </c>
      <c r="S95" s="63">
        <v>0</v>
      </c>
      <c r="T95" s="63">
        <v>0</v>
      </c>
      <c r="U95" s="63">
        <v>0</v>
      </c>
      <c r="V95" s="63">
        <v>0</v>
      </c>
      <c r="W95" s="64"/>
      <c r="Z95" s="64"/>
      <c r="AA95" s="64"/>
      <c r="AB95" s="64"/>
      <c r="AC95" s="64"/>
      <c r="AD95" s="64"/>
      <c r="AE95" s="64"/>
      <c r="AF95" s="64"/>
    </row>
    <row r="96" spans="1:32" s="29" customFormat="1" ht="30.75" customHeight="1" x14ac:dyDescent="0.2">
      <c r="A96" s="158"/>
      <c r="B96" s="92" t="s">
        <v>220</v>
      </c>
      <c r="C96" s="6" t="s">
        <v>53</v>
      </c>
      <c r="D96" s="82">
        <v>167992014.00999999</v>
      </c>
      <c r="E96" s="79">
        <v>0</v>
      </c>
      <c r="F96" s="79">
        <v>0</v>
      </c>
      <c r="G96" s="79">
        <v>0</v>
      </c>
      <c r="H96" s="79">
        <v>0</v>
      </c>
      <c r="I96" s="80">
        <f t="shared" si="55"/>
        <v>167992014.00999999</v>
      </c>
      <c r="J96" s="63">
        <v>0</v>
      </c>
      <c r="K96" s="63">
        <v>0</v>
      </c>
      <c r="L96" s="63">
        <v>0</v>
      </c>
      <c r="M96" s="63">
        <v>0</v>
      </c>
      <c r="N96" s="63">
        <v>0</v>
      </c>
      <c r="O96" s="63">
        <v>0</v>
      </c>
      <c r="P96" s="63">
        <v>0</v>
      </c>
      <c r="Q96" s="63">
        <v>0</v>
      </c>
      <c r="R96" s="63">
        <v>0</v>
      </c>
      <c r="S96" s="63">
        <v>0</v>
      </c>
      <c r="T96" s="63">
        <v>0</v>
      </c>
      <c r="U96" s="63">
        <v>0</v>
      </c>
      <c r="V96" s="63">
        <v>0</v>
      </c>
      <c r="W96" s="64"/>
    </row>
    <row r="97" spans="1:66" s="29" customFormat="1" x14ac:dyDescent="0.2">
      <c r="A97" s="158"/>
      <c r="B97" s="24" t="s">
        <v>108</v>
      </c>
      <c r="C97" s="27" t="s">
        <v>54</v>
      </c>
      <c r="D97" s="74">
        <f>D98+D102+D104</f>
        <v>70382237882.429993</v>
      </c>
      <c r="E97" s="74">
        <f>E98+E102+E104</f>
        <v>0</v>
      </c>
      <c r="F97" s="74">
        <f t="shared" ref="F97:H97" si="66">F98+F102+F104</f>
        <v>0</v>
      </c>
      <c r="G97" s="74">
        <f t="shared" si="66"/>
        <v>0</v>
      </c>
      <c r="H97" s="74">
        <f t="shared" si="66"/>
        <v>0</v>
      </c>
      <c r="I97" s="74">
        <f>+D97+E97-F97+G97-H97</f>
        <v>70382237882.429993</v>
      </c>
      <c r="J97" s="74">
        <f>+J98+J102+J104</f>
        <v>0</v>
      </c>
      <c r="K97" s="74">
        <f t="shared" ref="K97:V97" si="67">+K98+K102+K104</f>
        <v>0</v>
      </c>
      <c r="L97" s="74">
        <f t="shared" si="67"/>
        <v>0</v>
      </c>
      <c r="M97" s="74">
        <f t="shared" si="67"/>
        <v>0</v>
      </c>
      <c r="N97" s="74">
        <f t="shared" si="67"/>
        <v>0</v>
      </c>
      <c r="O97" s="74">
        <f t="shared" si="67"/>
        <v>0</v>
      </c>
      <c r="P97" s="74">
        <f t="shared" si="67"/>
        <v>0</v>
      </c>
      <c r="Q97" s="74">
        <f t="shared" si="67"/>
        <v>0</v>
      </c>
      <c r="R97" s="74">
        <f t="shared" si="67"/>
        <v>0</v>
      </c>
      <c r="S97" s="74">
        <f t="shared" si="67"/>
        <v>0</v>
      </c>
      <c r="T97" s="74">
        <f t="shared" si="67"/>
        <v>0</v>
      </c>
      <c r="U97" s="74">
        <f t="shared" si="67"/>
        <v>0</v>
      </c>
      <c r="V97" s="74">
        <f t="shared" si="67"/>
        <v>0</v>
      </c>
      <c r="W97" s="64"/>
    </row>
    <row r="98" spans="1:66" s="29" customFormat="1" ht="51" x14ac:dyDescent="0.2">
      <c r="A98" s="158"/>
      <c r="B98" s="23" t="s">
        <v>146</v>
      </c>
      <c r="C98" s="5" t="s">
        <v>194</v>
      </c>
      <c r="D98" s="76">
        <f>D99+D100+D101</f>
        <v>16556154691.43</v>
      </c>
      <c r="E98" s="76">
        <f t="shared" ref="E98:H98" si="68">E99+E100+E101</f>
        <v>0</v>
      </c>
      <c r="F98" s="76">
        <f t="shared" si="68"/>
        <v>0</v>
      </c>
      <c r="G98" s="76">
        <f t="shared" si="68"/>
        <v>0</v>
      </c>
      <c r="H98" s="76">
        <f t="shared" si="68"/>
        <v>0</v>
      </c>
      <c r="I98" s="76">
        <f>I99+I100+I101</f>
        <v>16556154691.43</v>
      </c>
      <c r="J98" s="76">
        <f>J99+J100+J101</f>
        <v>0</v>
      </c>
      <c r="K98" s="76">
        <f t="shared" ref="K98:V98" si="69">K99+K100+K101</f>
        <v>0</v>
      </c>
      <c r="L98" s="76">
        <f t="shared" si="69"/>
        <v>0</v>
      </c>
      <c r="M98" s="76">
        <f t="shared" si="69"/>
        <v>0</v>
      </c>
      <c r="N98" s="76">
        <f t="shared" si="69"/>
        <v>0</v>
      </c>
      <c r="O98" s="76">
        <f t="shared" si="69"/>
        <v>0</v>
      </c>
      <c r="P98" s="76">
        <f t="shared" si="69"/>
        <v>0</v>
      </c>
      <c r="Q98" s="76">
        <f t="shared" si="69"/>
        <v>0</v>
      </c>
      <c r="R98" s="76">
        <f t="shared" si="69"/>
        <v>0</v>
      </c>
      <c r="S98" s="76">
        <f t="shared" si="69"/>
        <v>0</v>
      </c>
      <c r="T98" s="76">
        <f t="shared" si="69"/>
        <v>0</v>
      </c>
      <c r="U98" s="76">
        <f t="shared" si="69"/>
        <v>0</v>
      </c>
      <c r="V98" s="76">
        <f t="shared" si="69"/>
        <v>0</v>
      </c>
      <c r="W98" s="64"/>
    </row>
    <row r="99" spans="1:66" s="29" customFormat="1" ht="12.75" customHeight="1" x14ac:dyDescent="0.2">
      <c r="A99" s="158"/>
      <c r="B99" s="7" t="s">
        <v>147</v>
      </c>
      <c r="C99" s="6" t="s">
        <v>107</v>
      </c>
      <c r="D99" s="79">
        <v>12052385707.309999</v>
      </c>
      <c r="E99" s="72">
        <v>0</v>
      </c>
      <c r="F99" s="72">
        <v>0</v>
      </c>
      <c r="G99" s="72">
        <v>0</v>
      </c>
      <c r="H99" s="72">
        <v>0</v>
      </c>
      <c r="I99" s="79">
        <f t="shared" si="55"/>
        <v>12052385707.309999</v>
      </c>
      <c r="J99" s="63">
        <v>0</v>
      </c>
      <c r="K99" s="63">
        <v>0</v>
      </c>
      <c r="L99" s="63">
        <v>0</v>
      </c>
      <c r="M99" s="63">
        <v>0</v>
      </c>
      <c r="N99" s="63">
        <v>0</v>
      </c>
      <c r="O99" s="63">
        <v>0</v>
      </c>
      <c r="P99" s="63">
        <v>0</v>
      </c>
      <c r="Q99" s="63">
        <v>0</v>
      </c>
      <c r="R99" s="63">
        <v>0</v>
      </c>
      <c r="S99" s="63">
        <v>0</v>
      </c>
      <c r="T99" s="63">
        <v>0</v>
      </c>
      <c r="U99" s="63">
        <v>0</v>
      </c>
      <c r="V99" s="63">
        <v>0</v>
      </c>
      <c r="W99" s="64"/>
      <c r="X99" s="29">
        <f>W99/3</f>
        <v>0</v>
      </c>
    </row>
    <row r="100" spans="1:66" s="29" customFormat="1" ht="12.75" customHeight="1" x14ac:dyDescent="0.2">
      <c r="A100" s="158"/>
      <c r="B100" s="7" t="s">
        <v>148</v>
      </c>
      <c r="C100" s="6" t="s">
        <v>53</v>
      </c>
      <c r="D100" s="79">
        <v>4303768984.1199999</v>
      </c>
      <c r="E100" s="79"/>
      <c r="F100" s="79"/>
      <c r="G100" s="79"/>
      <c r="H100" s="79"/>
      <c r="I100" s="79">
        <f t="shared" si="55"/>
        <v>4303768984.1199999</v>
      </c>
      <c r="J100" s="63">
        <v>0</v>
      </c>
      <c r="K100" s="63">
        <v>0</v>
      </c>
      <c r="L100" s="63">
        <v>0</v>
      </c>
      <c r="M100" s="63">
        <v>0</v>
      </c>
      <c r="N100" s="63">
        <v>0</v>
      </c>
      <c r="O100" s="63">
        <v>0</v>
      </c>
      <c r="P100" s="63">
        <v>0</v>
      </c>
      <c r="Q100" s="63">
        <v>0</v>
      </c>
      <c r="R100" s="63">
        <v>0</v>
      </c>
      <c r="S100" s="63">
        <v>0</v>
      </c>
      <c r="T100" s="63">
        <v>0</v>
      </c>
      <c r="U100" s="63">
        <v>0</v>
      </c>
      <c r="V100" s="63">
        <v>0</v>
      </c>
      <c r="W100" s="64"/>
      <c r="X100" s="29">
        <f>X99*3</f>
        <v>0</v>
      </c>
      <c r="Z100" s="64"/>
      <c r="AA100" s="64"/>
      <c r="AB100" s="64"/>
      <c r="AC100" s="64"/>
      <c r="AD100" s="64"/>
      <c r="AE100" s="64"/>
      <c r="AF100" s="64"/>
    </row>
    <row r="101" spans="1:66" s="29" customFormat="1" ht="12.75" customHeight="1" x14ac:dyDescent="0.2">
      <c r="A101" s="158"/>
      <c r="B101" s="92" t="s">
        <v>221</v>
      </c>
      <c r="C101" s="6" t="s">
        <v>53</v>
      </c>
      <c r="D101" s="79">
        <v>200000000</v>
      </c>
      <c r="E101" s="79"/>
      <c r="F101" s="79"/>
      <c r="G101" s="79"/>
      <c r="H101" s="79"/>
      <c r="I101" s="79">
        <f t="shared" si="55"/>
        <v>200000000</v>
      </c>
      <c r="J101" s="63">
        <v>0</v>
      </c>
      <c r="K101" s="63">
        <v>0</v>
      </c>
      <c r="L101" s="63">
        <v>0</v>
      </c>
      <c r="M101" s="63">
        <v>0</v>
      </c>
      <c r="N101" s="63">
        <v>0</v>
      </c>
      <c r="O101" s="63">
        <v>0</v>
      </c>
      <c r="P101" s="63">
        <v>0</v>
      </c>
      <c r="Q101" s="63">
        <v>0</v>
      </c>
      <c r="R101" s="63">
        <v>0</v>
      </c>
      <c r="S101" s="63">
        <v>0</v>
      </c>
      <c r="T101" s="63">
        <v>0</v>
      </c>
      <c r="U101" s="63">
        <v>0</v>
      </c>
      <c r="V101" s="63">
        <v>0</v>
      </c>
      <c r="W101" s="64"/>
      <c r="Z101" s="64"/>
      <c r="AA101" s="64"/>
      <c r="AB101" s="64"/>
      <c r="AC101" s="64"/>
      <c r="AD101" s="64"/>
      <c r="AE101" s="64"/>
      <c r="AF101" s="64"/>
    </row>
    <row r="102" spans="1:66" s="29" customFormat="1" ht="84" customHeight="1" x14ac:dyDescent="0.2">
      <c r="A102" s="158"/>
      <c r="B102" s="23" t="s">
        <v>149</v>
      </c>
      <c r="C102" s="5" t="s">
        <v>150</v>
      </c>
      <c r="D102" s="76">
        <f>D103</f>
        <v>21000000000</v>
      </c>
      <c r="E102" s="76">
        <f t="shared" ref="E102:H102" si="70">E103</f>
        <v>0</v>
      </c>
      <c r="F102" s="76">
        <f t="shared" si="70"/>
        <v>0</v>
      </c>
      <c r="G102" s="76">
        <f t="shared" si="70"/>
        <v>0</v>
      </c>
      <c r="H102" s="76">
        <f t="shared" si="70"/>
        <v>0</v>
      </c>
      <c r="I102" s="76">
        <f>D102+E102-F102+G102-H102</f>
        <v>21000000000</v>
      </c>
      <c r="J102" s="76">
        <f>J103</f>
        <v>0</v>
      </c>
      <c r="K102" s="76">
        <f t="shared" ref="K102:V102" si="71">K103</f>
        <v>0</v>
      </c>
      <c r="L102" s="76">
        <f t="shared" si="71"/>
        <v>0</v>
      </c>
      <c r="M102" s="76">
        <f t="shared" si="71"/>
        <v>0</v>
      </c>
      <c r="N102" s="76">
        <f t="shared" si="71"/>
        <v>0</v>
      </c>
      <c r="O102" s="76">
        <f t="shared" si="71"/>
        <v>0</v>
      </c>
      <c r="P102" s="76">
        <f t="shared" si="71"/>
        <v>0</v>
      </c>
      <c r="Q102" s="76">
        <f t="shared" si="71"/>
        <v>0</v>
      </c>
      <c r="R102" s="76">
        <f t="shared" si="71"/>
        <v>0</v>
      </c>
      <c r="S102" s="76">
        <f t="shared" si="71"/>
        <v>0</v>
      </c>
      <c r="T102" s="76">
        <f t="shared" si="71"/>
        <v>0</v>
      </c>
      <c r="U102" s="76">
        <f t="shared" si="71"/>
        <v>0</v>
      </c>
      <c r="V102" s="76">
        <f t="shared" si="71"/>
        <v>0</v>
      </c>
      <c r="W102" s="64"/>
    </row>
    <row r="103" spans="1:66" s="29" customFormat="1" ht="12.75" customHeight="1" x14ac:dyDescent="0.2">
      <c r="A103" s="158"/>
      <c r="B103" s="141" t="s">
        <v>151</v>
      </c>
      <c r="C103" s="6" t="s">
        <v>107</v>
      </c>
      <c r="D103" s="79">
        <v>21000000000</v>
      </c>
      <c r="E103" s="79">
        <v>0</v>
      </c>
      <c r="F103" s="79">
        <v>0</v>
      </c>
      <c r="G103" s="79">
        <v>0</v>
      </c>
      <c r="H103" s="79">
        <v>0</v>
      </c>
      <c r="I103" s="79">
        <f>D103+E103-F103+G103-H103</f>
        <v>21000000000</v>
      </c>
      <c r="J103" s="83">
        <v>0</v>
      </c>
      <c r="K103" s="83">
        <v>0</v>
      </c>
      <c r="L103" s="83">
        <v>0</v>
      </c>
      <c r="M103" s="83">
        <v>0</v>
      </c>
      <c r="N103" s="83">
        <v>0</v>
      </c>
      <c r="O103" s="83">
        <v>0</v>
      </c>
      <c r="P103" s="83">
        <v>0</v>
      </c>
      <c r="Q103" s="83">
        <v>0</v>
      </c>
      <c r="R103" s="83">
        <v>0</v>
      </c>
      <c r="S103" s="83">
        <v>0</v>
      </c>
      <c r="T103" s="83">
        <v>0</v>
      </c>
      <c r="U103" s="83">
        <v>0</v>
      </c>
      <c r="V103" s="83">
        <v>0</v>
      </c>
      <c r="W103" s="64"/>
    </row>
    <row r="104" spans="1:66" s="29" customFormat="1" ht="84" customHeight="1" x14ac:dyDescent="0.2">
      <c r="A104" s="158"/>
      <c r="B104" s="23" t="s">
        <v>195</v>
      </c>
      <c r="C104" s="5" t="s">
        <v>196</v>
      </c>
      <c r="D104" s="76">
        <f>D105</f>
        <v>32826083191</v>
      </c>
      <c r="E104" s="76">
        <f t="shared" ref="E104:H104" si="72">E105</f>
        <v>0</v>
      </c>
      <c r="F104" s="76">
        <f t="shared" si="72"/>
        <v>0</v>
      </c>
      <c r="G104" s="76">
        <f t="shared" si="72"/>
        <v>0</v>
      </c>
      <c r="H104" s="76">
        <f t="shared" si="72"/>
        <v>0</v>
      </c>
      <c r="I104" s="76">
        <f>D104+E104-F104+G104-H104</f>
        <v>32826083191</v>
      </c>
      <c r="J104" s="76">
        <f>J105</f>
        <v>0</v>
      </c>
      <c r="K104" s="76">
        <f t="shared" ref="K104:V104" si="73">K105</f>
        <v>0</v>
      </c>
      <c r="L104" s="76">
        <f t="shared" si="73"/>
        <v>0</v>
      </c>
      <c r="M104" s="76">
        <f t="shared" si="73"/>
        <v>0</v>
      </c>
      <c r="N104" s="76">
        <f t="shared" si="73"/>
        <v>0</v>
      </c>
      <c r="O104" s="76">
        <f t="shared" si="73"/>
        <v>0</v>
      </c>
      <c r="P104" s="76">
        <f t="shared" si="73"/>
        <v>0</v>
      </c>
      <c r="Q104" s="76">
        <f t="shared" si="73"/>
        <v>0</v>
      </c>
      <c r="R104" s="76">
        <f t="shared" si="73"/>
        <v>0</v>
      </c>
      <c r="S104" s="76">
        <f t="shared" si="73"/>
        <v>0</v>
      </c>
      <c r="T104" s="76">
        <f t="shared" si="73"/>
        <v>0</v>
      </c>
      <c r="U104" s="76">
        <f t="shared" si="73"/>
        <v>0</v>
      </c>
      <c r="V104" s="76">
        <f t="shared" si="73"/>
        <v>0</v>
      </c>
      <c r="W104" s="64"/>
    </row>
    <row r="105" spans="1:66" s="29" customFormat="1" ht="12.75" customHeight="1" x14ac:dyDescent="0.2">
      <c r="A105" s="158"/>
      <c r="B105" s="7" t="s">
        <v>197</v>
      </c>
      <c r="C105" s="6" t="s">
        <v>107</v>
      </c>
      <c r="D105" s="79">
        <v>32826083191</v>
      </c>
      <c r="E105" s="79">
        <v>0</v>
      </c>
      <c r="F105" s="79">
        <v>0</v>
      </c>
      <c r="G105" s="79">
        <v>0</v>
      </c>
      <c r="H105" s="79">
        <v>0</v>
      </c>
      <c r="I105" s="80">
        <f t="shared" ref="I105:I109" si="74">+D105+E105-F105+G105-H105</f>
        <v>32826083191</v>
      </c>
      <c r="J105" s="96">
        <v>0</v>
      </c>
      <c r="K105" s="83">
        <v>0</v>
      </c>
      <c r="L105" s="83">
        <v>0</v>
      </c>
      <c r="M105" s="83">
        <v>0</v>
      </c>
      <c r="N105" s="83">
        <v>0</v>
      </c>
      <c r="O105" s="83">
        <v>0</v>
      </c>
      <c r="P105" s="83">
        <v>0</v>
      </c>
      <c r="Q105" s="83">
        <v>0</v>
      </c>
      <c r="R105" s="83">
        <v>0</v>
      </c>
      <c r="S105" s="83">
        <v>0</v>
      </c>
      <c r="T105" s="83">
        <v>0</v>
      </c>
      <c r="U105" s="83">
        <v>0</v>
      </c>
      <c r="V105" s="83">
        <v>0</v>
      </c>
      <c r="W105" s="64"/>
    </row>
    <row r="106" spans="1:66" s="29" customFormat="1" x14ac:dyDescent="0.2">
      <c r="A106" s="158"/>
      <c r="B106" s="24" t="s">
        <v>109</v>
      </c>
      <c r="C106" s="27" t="s">
        <v>55</v>
      </c>
      <c r="D106" s="74">
        <f>+D107</f>
        <v>3886862565</v>
      </c>
      <c r="E106" s="74">
        <f>+E107</f>
        <v>0</v>
      </c>
      <c r="F106" s="74">
        <f t="shared" ref="F106:H107" si="75">+F107</f>
        <v>0</v>
      </c>
      <c r="G106" s="74">
        <f t="shared" si="75"/>
        <v>0</v>
      </c>
      <c r="H106" s="74">
        <f t="shared" si="75"/>
        <v>0</v>
      </c>
      <c r="I106" s="74">
        <f t="shared" si="74"/>
        <v>3886862565</v>
      </c>
      <c r="J106" s="74"/>
      <c r="K106" s="74"/>
      <c r="L106" s="74"/>
      <c r="M106" s="74"/>
      <c r="N106" s="74"/>
      <c r="O106" s="74"/>
      <c r="P106" s="74"/>
      <c r="Q106" s="74"/>
      <c r="R106" s="74"/>
      <c r="S106" s="74"/>
      <c r="T106" s="74"/>
      <c r="U106" s="74"/>
      <c r="V106" s="74"/>
      <c r="W106" s="64"/>
    </row>
    <row r="107" spans="1:66" s="28" customFormat="1" ht="38.25" x14ac:dyDescent="0.2">
      <c r="A107" s="158"/>
      <c r="B107" s="23" t="s">
        <v>152</v>
      </c>
      <c r="C107" s="5" t="s">
        <v>198</v>
      </c>
      <c r="D107" s="76">
        <f>SUM(D108:D109)</f>
        <v>3886862565</v>
      </c>
      <c r="E107" s="76">
        <f>+E108</f>
        <v>0</v>
      </c>
      <c r="F107" s="76">
        <f t="shared" si="75"/>
        <v>0</v>
      </c>
      <c r="G107" s="76">
        <f t="shared" si="75"/>
        <v>0</v>
      </c>
      <c r="H107" s="76">
        <f t="shared" si="75"/>
        <v>0</v>
      </c>
      <c r="I107" s="76">
        <f t="shared" si="74"/>
        <v>3886862565</v>
      </c>
      <c r="J107" s="76">
        <f>+J108+J109</f>
        <v>0</v>
      </c>
      <c r="K107" s="76">
        <f t="shared" ref="K107:V107" si="76">+K108+K109</f>
        <v>0</v>
      </c>
      <c r="L107" s="76">
        <f t="shared" si="76"/>
        <v>0</v>
      </c>
      <c r="M107" s="76">
        <f t="shared" si="76"/>
        <v>0</v>
      </c>
      <c r="N107" s="76">
        <f t="shared" si="76"/>
        <v>0</v>
      </c>
      <c r="O107" s="76">
        <f t="shared" si="76"/>
        <v>0</v>
      </c>
      <c r="P107" s="76">
        <f t="shared" si="76"/>
        <v>0</v>
      </c>
      <c r="Q107" s="76">
        <f t="shared" si="76"/>
        <v>0</v>
      </c>
      <c r="R107" s="76">
        <f t="shared" si="76"/>
        <v>0</v>
      </c>
      <c r="S107" s="76">
        <f t="shared" si="76"/>
        <v>0</v>
      </c>
      <c r="T107" s="76">
        <f t="shared" si="76"/>
        <v>0</v>
      </c>
      <c r="U107" s="76">
        <f t="shared" si="76"/>
        <v>0</v>
      </c>
      <c r="V107" s="76">
        <f t="shared" si="76"/>
        <v>0</v>
      </c>
      <c r="W107" s="64"/>
    </row>
    <row r="108" spans="1:66" s="29" customFormat="1" ht="12.75" customHeight="1" x14ac:dyDescent="0.2">
      <c r="A108" s="158"/>
      <c r="B108" s="7" t="s">
        <v>153</v>
      </c>
      <c r="C108" s="6" t="s">
        <v>107</v>
      </c>
      <c r="D108" s="79">
        <v>3187673559.8000002</v>
      </c>
      <c r="E108" s="72">
        <f>SUM(E109:E110)</f>
        <v>0</v>
      </c>
      <c r="F108" s="72">
        <f>SUM(F109:F110)</f>
        <v>0</v>
      </c>
      <c r="G108" s="72">
        <f>SUM(G109:G110)</f>
        <v>0</v>
      </c>
      <c r="H108" s="72">
        <f>SUM(H109:H110)</f>
        <v>0</v>
      </c>
      <c r="I108" s="79">
        <f t="shared" si="74"/>
        <v>3187673559.8000002</v>
      </c>
      <c r="J108" s="83">
        <v>0</v>
      </c>
      <c r="K108" s="83">
        <v>0</v>
      </c>
      <c r="L108" s="83">
        <v>0</v>
      </c>
      <c r="M108" s="83">
        <v>0</v>
      </c>
      <c r="N108" s="83">
        <v>0</v>
      </c>
      <c r="O108" s="83">
        <v>0</v>
      </c>
      <c r="P108" s="83">
        <v>0</v>
      </c>
      <c r="Q108" s="83">
        <v>0</v>
      </c>
      <c r="R108" s="83">
        <v>0</v>
      </c>
      <c r="S108" s="83">
        <v>0</v>
      </c>
      <c r="T108" s="83">
        <v>0</v>
      </c>
      <c r="U108" s="83">
        <v>0</v>
      </c>
      <c r="V108" s="83">
        <v>0</v>
      </c>
      <c r="W108" s="64"/>
      <c r="Z108" s="64"/>
      <c r="AA108" s="64"/>
      <c r="AB108" s="64"/>
      <c r="AC108" s="64"/>
      <c r="AD108" s="64"/>
      <c r="AE108" s="64"/>
      <c r="AF108" s="64"/>
    </row>
    <row r="109" spans="1:66" s="29" customFormat="1" ht="12.75" customHeight="1" x14ac:dyDescent="0.2">
      <c r="A109" s="158"/>
      <c r="B109" s="7" t="s">
        <v>154</v>
      </c>
      <c r="C109" s="6" t="s">
        <v>53</v>
      </c>
      <c r="D109" s="79">
        <v>699189005.20000005</v>
      </c>
      <c r="E109" s="79">
        <v>0</v>
      </c>
      <c r="F109" s="79">
        <v>0</v>
      </c>
      <c r="G109" s="79">
        <v>0</v>
      </c>
      <c r="H109" s="79">
        <v>0</v>
      </c>
      <c r="I109" s="79">
        <f t="shared" si="74"/>
        <v>699189005.20000005</v>
      </c>
      <c r="J109" s="83">
        <v>0</v>
      </c>
      <c r="K109" s="83">
        <v>0</v>
      </c>
      <c r="L109" s="83">
        <v>0</v>
      </c>
      <c r="M109" s="83">
        <v>0</v>
      </c>
      <c r="N109" s="83">
        <v>0</v>
      </c>
      <c r="O109" s="83">
        <v>0</v>
      </c>
      <c r="P109" s="83">
        <v>0</v>
      </c>
      <c r="Q109" s="83">
        <v>0</v>
      </c>
      <c r="R109" s="83">
        <v>0</v>
      </c>
      <c r="S109" s="83">
        <v>0</v>
      </c>
      <c r="T109" s="83">
        <v>0</v>
      </c>
      <c r="U109" s="83">
        <v>0</v>
      </c>
      <c r="V109" s="83">
        <v>0</v>
      </c>
      <c r="W109" s="64"/>
    </row>
    <row r="110" spans="1:66" s="29" customFormat="1" x14ac:dyDescent="0.2">
      <c r="A110" s="158"/>
      <c r="B110" s="24" t="s">
        <v>110</v>
      </c>
      <c r="C110" s="27" t="s">
        <v>56</v>
      </c>
      <c r="D110" s="74">
        <f>+D111</f>
        <v>1500000000</v>
      </c>
      <c r="E110" s="74">
        <f t="shared" ref="E110:H110" si="77">+E111</f>
        <v>0</v>
      </c>
      <c r="F110" s="74">
        <f t="shared" si="77"/>
        <v>0</v>
      </c>
      <c r="G110" s="74">
        <f t="shared" si="77"/>
        <v>0</v>
      </c>
      <c r="H110" s="74">
        <f t="shared" si="77"/>
        <v>0</v>
      </c>
      <c r="I110" s="74">
        <f>+D110+E110-F110+G110-H110</f>
        <v>1500000000</v>
      </c>
      <c r="J110" s="74">
        <f>+J111</f>
        <v>0</v>
      </c>
      <c r="K110" s="74">
        <f t="shared" ref="K110:V110" si="78">+K111</f>
        <v>0</v>
      </c>
      <c r="L110" s="74">
        <f t="shared" si="78"/>
        <v>0</v>
      </c>
      <c r="M110" s="74">
        <f t="shared" si="78"/>
        <v>0</v>
      </c>
      <c r="N110" s="74">
        <f t="shared" si="78"/>
        <v>0</v>
      </c>
      <c r="O110" s="74">
        <f t="shared" si="78"/>
        <v>0</v>
      </c>
      <c r="P110" s="74">
        <f t="shared" si="78"/>
        <v>0</v>
      </c>
      <c r="Q110" s="74">
        <f t="shared" si="78"/>
        <v>0</v>
      </c>
      <c r="R110" s="74">
        <f t="shared" si="78"/>
        <v>0</v>
      </c>
      <c r="S110" s="74">
        <f t="shared" si="78"/>
        <v>0</v>
      </c>
      <c r="T110" s="74">
        <f t="shared" si="78"/>
        <v>0</v>
      </c>
      <c r="U110" s="74">
        <f t="shared" si="78"/>
        <v>0</v>
      </c>
      <c r="V110" s="74">
        <f t="shared" si="78"/>
        <v>0</v>
      </c>
      <c r="W110" s="64"/>
    </row>
    <row r="111" spans="1:66" s="30" customFormat="1" ht="127.5" customHeight="1" x14ac:dyDescent="0.2">
      <c r="A111" s="159"/>
      <c r="B111" s="23" t="s">
        <v>155</v>
      </c>
      <c r="C111" s="93" t="s">
        <v>199</v>
      </c>
      <c r="D111" s="76">
        <f>D112</f>
        <v>1500000000</v>
      </c>
      <c r="E111" s="76">
        <f>E112</f>
        <v>0</v>
      </c>
      <c r="F111" s="76">
        <f t="shared" ref="F111:H111" si="79">F112</f>
        <v>0</v>
      </c>
      <c r="G111" s="76">
        <f t="shared" si="79"/>
        <v>0</v>
      </c>
      <c r="H111" s="76">
        <f t="shared" si="79"/>
        <v>0</v>
      </c>
      <c r="I111" s="76">
        <f t="shared" ref="I111:I112" si="80">+D111+E111-F111+G111-H111</f>
        <v>1500000000</v>
      </c>
      <c r="J111" s="76">
        <f>J112</f>
        <v>0</v>
      </c>
      <c r="K111" s="76">
        <f t="shared" ref="K111:V111" si="81">K112</f>
        <v>0</v>
      </c>
      <c r="L111" s="76">
        <f t="shared" si="81"/>
        <v>0</v>
      </c>
      <c r="M111" s="76">
        <f t="shared" si="81"/>
        <v>0</v>
      </c>
      <c r="N111" s="76">
        <f t="shared" si="81"/>
        <v>0</v>
      </c>
      <c r="O111" s="76">
        <f t="shared" si="81"/>
        <v>0</v>
      </c>
      <c r="P111" s="76">
        <f t="shared" si="81"/>
        <v>0</v>
      </c>
      <c r="Q111" s="76">
        <f t="shared" si="81"/>
        <v>0</v>
      </c>
      <c r="R111" s="76">
        <f t="shared" si="81"/>
        <v>0</v>
      </c>
      <c r="S111" s="76">
        <f t="shared" si="81"/>
        <v>0</v>
      </c>
      <c r="T111" s="76">
        <f t="shared" si="81"/>
        <v>0</v>
      </c>
      <c r="U111" s="76">
        <f t="shared" si="81"/>
        <v>0</v>
      </c>
      <c r="V111" s="76">
        <f t="shared" si="81"/>
        <v>0</v>
      </c>
      <c r="W111" s="64"/>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row>
    <row r="112" spans="1:66" s="29" customFormat="1" ht="12.75" customHeight="1" x14ac:dyDescent="0.2">
      <c r="A112" s="158"/>
      <c r="B112" s="92" t="s">
        <v>156</v>
      </c>
      <c r="C112" s="6" t="s">
        <v>53</v>
      </c>
      <c r="D112" s="79">
        <v>1500000000</v>
      </c>
      <c r="E112" s="79">
        <v>0</v>
      </c>
      <c r="F112" s="79">
        <v>0</v>
      </c>
      <c r="G112" s="79">
        <v>0</v>
      </c>
      <c r="H112" s="79">
        <v>0</v>
      </c>
      <c r="I112" s="79">
        <f t="shared" si="80"/>
        <v>1500000000</v>
      </c>
      <c r="J112" s="63">
        <v>0</v>
      </c>
      <c r="K112" s="63">
        <v>0</v>
      </c>
      <c r="L112" s="63">
        <v>0</v>
      </c>
      <c r="M112" s="63">
        <v>0</v>
      </c>
      <c r="N112" s="63">
        <v>0</v>
      </c>
      <c r="O112" s="63">
        <v>0</v>
      </c>
      <c r="P112" s="63">
        <v>0</v>
      </c>
      <c r="Q112" s="63">
        <v>0</v>
      </c>
      <c r="R112" s="63">
        <v>0</v>
      </c>
      <c r="S112" s="63">
        <v>0</v>
      </c>
      <c r="T112" s="63">
        <v>0</v>
      </c>
      <c r="U112" s="63">
        <v>0</v>
      </c>
      <c r="V112" s="63">
        <v>0</v>
      </c>
      <c r="W112" s="64"/>
    </row>
    <row r="113" spans="1:66" s="26" customFormat="1" x14ac:dyDescent="0.2">
      <c r="A113" s="157"/>
      <c r="B113" s="7">
        <v>2</v>
      </c>
      <c r="C113" s="172" t="s">
        <v>45</v>
      </c>
      <c r="D113" s="72">
        <f>D114+D123</f>
        <v>96287719324.70993</v>
      </c>
      <c r="E113" s="83">
        <f>SUM(E114:E114)</f>
        <v>0</v>
      </c>
      <c r="F113" s="83">
        <f>SUM(F114:F114)</f>
        <v>0</v>
      </c>
      <c r="G113" s="83">
        <f>SUM(G114:G114)</f>
        <v>0</v>
      </c>
      <c r="H113" s="83">
        <f>SUM(H114:H114)</f>
        <v>0</v>
      </c>
      <c r="I113" s="83">
        <f>I114+I123</f>
        <v>96287719324.70993</v>
      </c>
      <c r="J113" s="83">
        <f t="shared" ref="J113:V113" si="82">SUM(J114:J114)</f>
        <v>0</v>
      </c>
      <c r="K113" s="83">
        <f t="shared" si="82"/>
        <v>0</v>
      </c>
      <c r="L113" s="83">
        <f t="shared" si="82"/>
        <v>0</v>
      </c>
      <c r="M113" s="83">
        <f t="shared" si="82"/>
        <v>0</v>
      </c>
      <c r="N113" s="83">
        <f t="shared" si="82"/>
        <v>0</v>
      </c>
      <c r="O113" s="83">
        <f t="shared" si="82"/>
        <v>0</v>
      </c>
      <c r="P113" s="83">
        <f t="shared" si="82"/>
        <v>0</v>
      </c>
      <c r="Q113" s="83">
        <f t="shared" si="82"/>
        <v>0</v>
      </c>
      <c r="R113" s="83">
        <f t="shared" si="82"/>
        <v>0</v>
      </c>
      <c r="S113" s="83">
        <f t="shared" si="82"/>
        <v>0</v>
      </c>
      <c r="T113" s="83">
        <f t="shared" si="82"/>
        <v>0</v>
      </c>
      <c r="U113" s="83">
        <f t="shared" si="82"/>
        <v>0</v>
      </c>
      <c r="V113" s="83">
        <f t="shared" si="82"/>
        <v>0</v>
      </c>
      <c r="W113" s="64"/>
    </row>
    <row r="114" spans="1:66" s="32" customFormat="1" x14ac:dyDescent="0.2">
      <c r="A114" s="159" t="s">
        <v>297</v>
      </c>
      <c r="B114" s="31"/>
      <c r="C114" s="178" t="s">
        <v>19</v>
      </c>
      <c r="D114" s="85">
        <f>D115+D116+D117+D118+D119+D120+D121+D122</f>
        <v>563677650.01999998</v>
      </c>
      <c r="E114" s="85"/>
      <c r="F114" s="85"/>
      <c r="G114" s="85"/>
      <c r="H114" s="85"/>
      <c r="I114" s="85">
        <f>D114+E114-F114+G114-H114</f>
        <v>563677650.01999998</v>
      </c>
      <c r="J114" s="85">
        <f>J115+J116+J117+J118+J119+J120+J121+J122</f>
        <v>0</v>
      </c>
      <c r="K114" s="85">
        <f t="shared" ref="K114:V114" si="83">K115+K116+K117+K118+K119+K120+K121+K122</f>
        <v>0</v>
      </c>
      <c r="L114" s="85">
        <f t="shared" si="83"/>
        <v>0</v>
      </c>
      <c r="M114" s="85">
        <f t="shared" si="83"/>
        <v>0</v>
      </c>
      <c r="N114" s="85">
        <f t="shared" si="83"/>
        <v>0</v>
      </c>
      <c r="O114" s="85">
        <f t="shared" si="83"/>
        <v>0</v>
      </c>
      <c r="P114" s="85">
        <f t="shared" si="83"/>
        <v>0</v>
      </c>
      <c r="Q114" s="85">
        <f t="shared" si="83"/>
        <v>0</v>
      </c>
      <c r="R114" s="85">
        <f t="shared" si="83"/>
        <v>0</v>
      </c>
      <c r="S114" s="85">
        <f t="shared" si="83"/>
        <v>0</v>
      </c>
      <c r="T114" s="85">
        <f t="shared" si="83"/>
        <v>0</v>
      </c>
      <c r="U114" s="85">
        <f t="shared" si="83"/>
        <v>0</v>
      </c>
      <c r="V114" s="85">
        <f t="shared" si="83"/>
        <v>0</v>
      </c>
      <c r="W114" s="64"/>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c r="AV114" s="29"/>
      <c r="AW114" s="29"/>
      <c r="AX114" s="29"/>
      <c r="AY114" s="29"/>
      <c r="AZ114" s="29"/>
      <c r="BA114" s="29"/>
      <c r="BB114" s="29"/>
      <c r="BC114" s="29"/>
      <c r="BD114" s="29"/>
      <c r="BE114" s="29"/>
      <c r="BF114" s="29"/>
      <c r="BG114" s="29"/>
      <c r="BH114" s="29"/>
      <c r="BI114" s="29"/>
      <c r="BJ114" s="29"/>
      <c r="BK114" s="29"/>
      <c r="BL114" s="29"/>
      <c r="BM114" s="29"/>
      <c r="BN114" s="29"/>
    </row>
    <row r="115" spans="1:66" s="29" customFormat="1" ht="20.25" customHeight="1" x14ac:dyDescent="0.2">
      <c r="A115" s="152">
        <v>919</v>
      </c>
      <c r="B115" s="146" t="s">
        <v>190</v>
      </c>
      <c r="C115" s="165" t="s">
        <v>102</v>
      </c>
      <c r="D115" s="96">
        <v>9880000</v>
      </c>
      <c r="E115" s="83">
        <v>0</v>
      </c>
      <c r="F115" s="83">
        <v>0</v>
      </c>
      <c r="G115" s="83">
        <v>0</v>
      </c>
      <c r="H115" s="83">
        <v>0</v>
      </c>
      <c r="I115" s="96">
        <f>D115+E115-F115+G115-H115</f>
        <v>9880000</v>
      </c>
      <c r="J115" s="83">
        <v>0</v>
      </c>
      <c r="K115" s="83">
        <v>0</v>
      </c>
      <c r="L115" s="83">
        <v>0</v>
      </c>
      <c r="M115" s="83">
        <v>0</v>
      </c>
      <c r="N115" s="83">
        <v>0</v>
      </c>
      <c r="O115" s="83">
        <v>0</v>
      </c>
      <c r="P115" s="83">
        <v>0</v>
      </c>
      <c r="Q115" s="83">
        <v>0</v>
      </c>
      <c r="R115" s="83">
        <v>0</v>
      </c>
      <c r="S115" s="83">
        <v>0</v>
      </c>
      <c r="T115" s="83">
        <v>0</v>
      </c>
      <c r="U115" s="83">
        <v>0</v>
      </c>
      <c r="V115" s="83">
        <v>0</v>
      </c>
      <c r="W115" s="64"/>
    </row>
    <row r="116" spans="1:66" s="29" customFormat="1" x14ac:dyDescent="0.2">
      <c r="A116" s="152">
        <v>1151</v>
      </c>
      <c r="B116" s="146" t="s">
        <v>190</v>
      </c>
      <c r="C116" s="165" t="s">
        <v>102</v>
      </c>
      <c r="D116" s="96">
        <v>1250000</v>
      </c>
      <c r="E116" s="83">
        <v>0</v>
      </c>
      <c r="F116" s="83">
        <v>0</v>
      </c>
      <c r="G116" s="83">
        <v>0</v>
      </c>
      <c r="H116" s="83">
        <v>0</v>
      </c>
      <c r="I116" s="96">
        <f>D116+E116-F116+G116-H116</f>
        <v>1250000</v>
      </c>
      <c r="J116" s="83">
        <v>0</v>
      </c>
      <c r="K116" s="83">
        <v>0</v>
      </c>
      <c r="L116" s="83">
        <v>0</v>
      </c>
      <c r="M116" s="83">
        <v>0</v>
      </c>
      <c r="N116" s="83">
        <v>0</v>
      </c>
      <c r="O116" s="83">
        <v>0</v>
      </c>
      <c r="P116" s="83">
        <v>0</v>
      </c>
      <c r="Q116" s="83">
        <v>0</v>
      </c>
      <c r="R116" s="83">
        <v>0</v>
      </c>
      <c r="S116" s="83">
        <v>0</v>
      </c>
      <c r="T116" s="83">
        <v>0</v>
      </c>
      <c r="U116" s="83">
        <v>0</v>
      </c>
      <c r="V116" s="83">
        <v>0</v>
      </c>
      <c r="W116" s="64"/>
    </row>
    <row r="117" spans="1:66" s="29" customFormat="1" ht="24" x14ac:dyDescent="0.2">
      <c r="A117" s="152">
        <v>1226</v>
      </c>
      <c r="B117" s="146" t="s">
        <v>113</v>
      </c>
      <c r="C117" s="165" t="s">
        <v>101</v>
      </c>
      <c r="D117" s="96">
        <v>4000000.02</v>
      </c>
      <c r="E117" s="83">
        <v>0</v>
      </c>
      <c r="F117" s="83">
        <v>0</v>
      </c>
      <c r="G117" s="83">
        <v>0</v>
      </c>
      <c r="H117" s="83">
        <v>0</v>
      </c>
      <c r="I117" s="96">
        <f>D117+E117-F117+G117-H117</f>
        <v>4000000.02</v>
      </c>
      <c r="J117" s="83">
        <v>0</v>
      </c>
      <c r="K117" s="83">
        <v>0</v>
      </c>
      <c r="L117" s="83">
        <v>0</v>
      </c>
      <c r="M117" s="83">
        <v>0</v>
      </c>
      <c r="N117" s="83">
        <v>0</v>
      </c>
      <c r="O117" s="83">
        <v>0</v>
      </c>
      <c r="P117" s="83">
        <v>0</v>
      </c>
      <c r="Q117" s="83">
        <v>0</v>
      </c>
      <c r="R117" s="83">
        <v>0</v>
      </c>
      <c r="S117" s="83">
        <v>0</v>
      </c>
      <c r="T117" s="83">
        <v>0</v>
      </c>
      <c r="U117" s="83">
        <v>0</v>
      </c>
      <c r="V117" s="83">
        <v>0</v>
      </c>
      <c r="W117" s="64"/>
    </row>
    <row r="118" spans="1:66" s="29" customFormat="1" ht="23.25" customHeight="1" x14ac:dyDescent="0.2">
      <c r="A118" s="152">
        <v>1227</v>
      </c>
      <c r="B118" s="146" t="s">
        <v>208</v>
      </c>
      <c r="C118" s="165" t="s">
        <v>101</v>
      </c>
      <c r="D118" s="96">
        <v>6600000</v>
      </c>
      <c r="E118" s="83">
        <v>0</v>
      </c>
      <c r="F118" s="83">
        <v>0</v>
      </c>
      <c r="G118" s="83">
        <v>0</v>
      </c>
      <c r="H118" s="83">
        <v>0</v>
      </c>
      <c r="I118" s="96">
        <f t="shared" ref="I118:I122" si="84">D118+E118-F118+G118-H118</f>
        <v>6600000</v>
      </c>
      <c r="J118" s="83">
        <v>0</v>
      </c>
      <c r="K118" s="83">
        <v>0</v>
      </c>
      <c r="L118" s="83">
        <v>0</v>
      </c>
      <c r="M118" s="83">
        <v>0</v>
      </c>
      <c r="N118" s="83">
        <v>0</v>
      </c>
      <c r="O118" s="83">
        <v>0</v>
      </c>
      <c r="P118" s="83">
        <v>0</v>
      </c>
      <c r="Q118" s="83">
        <v>0</v>
      </c>
      <c r="R118" s="83">
        <v>0</v>
      </c>
      <c r="S118" s="83">
        <v>0</v>
      </c>
      <c r="T118" s="83">
        <v>0</v>
      </c>
      <c r="U118" s="83">
        <v>0</v>
      </c>
      <c r="V118" s="83">
        <v>0</v>
      </c>
      <c r="W118" s="64"/>
    </row>
    <row r="119" spans="1:66" s="29" customFormat="1" x14ac:dyDescent="0.2">
      <c r="A119" s="152">
        <v>1562</v>
      </c>
      <c r="B119" s="146" t="s">
        <v>114</v>
      </c>
      <c r="C119" s="165" t="s">
        <v>102</v>
      </c>
      <c r="D119" s="96">
        <v>47580000</v>
      </c>
      <c r="E119" s="83">
        <v>0</v>
      </c>
      <c r="F119" s="83">
        <v>0</v>
      </c>
      <c r="G119" s="83">
        <v>0</v>
      </c>
      <c r="H119" s="83">
        <v>0</v>
      </c>
      <c r="I119" s="96">
        <f t="shared" si="84"/>
        <v>47580000</v>
      </c>
      <c r="J119" s="83">
        <v>0</v>
      </c>
      <c r="K119" s="83">
        <v>0</v>
      </c>
      <c r="L119" s="83">
        <v>0</v>
      </c>
      <c r="M119" s="83">
        <v>0</v>
      </c>
      <c r="N119" s="83">
        <v>0</v>
      </c>
      <c r="O119" s="83">
        <v>0</v>
      </c>
      <c r="P119" s="83">
        <v>0</v>
      </c>
      <c r="Q119" s="83">
        <v>0</v>
      </c>
      <c r="R119" s="83">
        <v>0</v>
      </c>
      <c r="S119" s="83">
        <v>0</v>
      </c>
      <c r="T119" s="83">
        <v>0</v>
      </c>
      <c r="U119" s="83">
        <v>0</v>
      </c>
      <c r="V119" s="83">
        <v>0</v>
      </c>
      <c r="W119" s="64"/>
    </row>
    <row r="120" spans="1:66" s="29" customFormat="1" x14ac:dyDescent="0.2">
      <c r="A120" s="152">
        <v>1643</v>
      </c>
      <c r="B120" s="146" t="s">
        <v>117</v>
      </c>
      <c r="C120" s="165" t="s">
        <v>248</v>
      </c>
      <c r="D120" s="96">
        <v>199811628.59</v>
      </c>
      <c r="E120" s="83">
        <v>0</v>
      </c>
      <c r="F120" s="83">
        <v>0</v>
      </c>
      <c r="G120" s="83">
        <v>0</v>
      </c>
      <c r="H120" s="83">
        <v>0</v>
      </c>
      <c r="I120" s="96">
        <f t="shared" si="84"/>
        <v>199811628.59</v>
      </c>
      <c r="J120" s="83">
        <v>0</v>
      </c>
      <c r="K120" s="83">
        <v>0</v>
      </c>
      <c r="L120" s="83">
        <v>0</v>
      </c>
      <c r="M120" s="83">
        <v>0</v>
      </c>
      <c r="N120" s="83">
        <v>0</v>
      </c>
      <c r="O120" s="83">
        <v>0</v>
      </c>
      <c r="P120" s="83">
        <v>0</v>
      </c>
      <c r="Q120" s="83">
        <v>0</v>
      </c>
      <c r="R120" s="83">
        <v>0</v>
      </c>
      <c r="S120" s="83">
        <v>0</v>
      </c>
      <c r="T120" s="83">
        <v>0</v>
      </c>
      <c r="U120" s="83">
        <v>0</v>
      </c>
      <c r="V120" s="83">
        <v>0</v>
      </c>
      <c r="W120" s="64"/>
    </row>
    <row r="121" spans="1:66" s="29" customFormat="1" x14ac:dyDescent="0.2">
      <c r="A121" s="152">
        <v>1644</v>
      </c>
      <c r="B121" s="146" t="s">
        <v>204</v>
      </c>
      <c r="C121" s="165" t="s">
        <v>248</v>
      </c>
      <c r="D121" s="96">
        <v>284242688.41000003</v>
      </c>
      <c r="E121" s="83">
        <v>0</v>
      </c>
      <c r="F121" s="83">
        <v>0</v>
      </c>
      <c r="G121" s="83">
        <v>0</v>
      </c>
      <c r="H121" s="83">
        <v>0</v>
      </c>
      <c r="I121" s="96">
        <f t="shared" si="84"/>
        <v>284242688.41000003</v>
      </c>
      <c r="J121" s="83">
        <v>0</v>
      </c>
      <c r="K121" s="83">
        <v>0</v>
      </c>
      <c r="L121" s="83">
        <v>0</v>
      </c>
      <c r="M121" s="83">
        <v>0</v>
      </c>
      <c r="N121" s="83">
        <v>0</v>
      </c>
      <c r="O121" s="83">
        <v>0</v>
      </c>
      <c r="P121" s="83">
        <v>0</v>
      </c>
      <c r="Q121" s="83">
        <v>0</v>
      </c>
      <c r="R121" s="83">
        <v>0</v>
      </c>
      <c r="S121" s="83">
        <v>0</v>
      </c>
      <c r="T121" s="83">
        <v>0</v>
      </c>
      <c r="U121" s="83">
        <v>0</v>
      </c>
      <c r="V121" s="83">
        <v>0</v>
      </c>
      <c r="W121" s="64"/>
    </row>
    <row r="122" spans="1:66" s="29" customFormat="1" x14ac:dyDescent="0.2">
      <c r="A122" s="152">
        <v>1645</v>
      </c>
      <c r="B122" s="146" t="s">
        <v>114</v>
      </c>
      <c r="C122" s="165" t="s">
        <v>102</v>
      </c>
      <c r="D122" s="96">
        <v>10313333</v>
      </c>
      <c r="E122" s="83">
        <v>0</v>
      </c>
      <c r="F122" s="83">
        <v>0</v>
      </c>
      <c r="G122" s="83">
        <v>0</v>
      </c>
      <c r="H122" s="83">
        <v>0</v>
      </c>
      <c r="I122" s="96">
        <f t="shared" si="84"/>
        <v>10313333</v>
      </c>
      <c r="J122" s="83">
        <v>0</v>
      </c>
      <c r="K122" s="83">
        <v>0</v>
      </c>
      <c r="L122" s="83">
        <v>0</v>
      </c>
      <c r="M122" s="83">
        <v>0</v>
      </c>
      <c r="N122" s="83">
        <v>0</v>
      </c>
      <c r="O122" s="83">
        <v>0</v>
      </c>
      <c r="P122" s="83">
        <v>0</v>
      </c>
      <c r="Q122" s="83">
        <v>0</v>
      </c>
      <c r="R122" s="83">
        <v>0</v>
      </c>
      <c r="S122" s="83">
        <v>0</v>
      </c>
      <c r="T122" s="83">
        <v>0</v>
      </c>
      <c r="U122" s="83">
        <v>0</v>
      </c>
      <c r="V122" s="83">
        <v>0</v>
      </c>
      <c r="W122" s="64"/>
    </row>
    <row r="123" spans="1:66" s="26" customFormat="1" x14ac:dyDescent="0.2">
      <c r="A123" s="157"/>
      <c r="B123" s="31"/>
      <c r="C123" s="178" t="s">
        <v>20</v>
      </c>
      <c r="D123" s="85">
        <f>SUM(D124:D245)</f>
        <v>95724041674.689926</v>
      </c>
      <c r="E123" s="85">
        <f t="shared" ref="E123:U123" si="85">SUM(E124:E245)</f>
        <v>0</v>
      </c>
      <c r="F123" s="85">
        <f t="shared" si="85"/>
        <v>0</v>
      </c>
      <c r="G123" s="85">
        <f t="shared" si="85"/>
        <v>0</v>
      </c>
      <c r="H123" s="85">
        <f t="shared" si="85"/>
        <v>0</v>
      </c>
      <c r="I123" s="85">
        <f t="shared" si="85"/>
        <v>95724041674.689926</v>
      </c>
      <c r="J123" s="85">
        <f t="shared" si="85"/>
        <v>0</v>
      </c>
      <c r="K123" s="85">
        <f t="shared" ref="K123:V123" si="86">SUM(K124:K245)</f>
        <v>0</v>
      </c>
      <c r="L123" s="85">
        <f t="shared" si="86"/>
        <v>0</v>
      </c>
      <c r="M123" s="85">
        <f t="shared" si="86"/>
        <v>0</v>
      </c>
      <c r="N123" s="85">
        <f t="shared" si="86"/>
        <v>0</v>
      </c>
      <c r="O123" s="85">
        <f t="shared" si="86"/>
        <v>0</v>
      </c>
      <c r="P123" s="85">
        <f t="shared" si="86"/>
        <v>0</v>
      </c>
      <c r="Q123" s="85">
        <f t="shared" si="86"/>
        <v>0</v>
      </c>
      <c r="R123" s="85">
        <f t="shared" si="86"/>
        <v>0</v>
      </c>
      <c r="S123" s="85">
        <f t="shared" si="86"/>
        <v>0</v>
      </c>
      <c r="T123" s="85">
        <f t="shared" si="86"/>
        <v>0</v>
      </c>
      <c r="U123" s="85">
        <f t="shared" si="86"/>
        <v>0</v>
      </c>
      <c r="V123" s="85">
        <f t="shared" si="86"/>
        <v>0</v>
      </c>
      <c r="W123" s="64">
        <f>I123-V123</f>
        <v>95724041674.689926</v>
      </c>
    </row>
    <row r="124" spans="1:66" x14ac:dyDescent="0.2">
      <c r="A124" s="160">
        <v>1</v>
      </c>
      <c r="B124" s="9" t="s">
        <v>151</v>
      </c>
      <c r="C124" s="8" t="s">
        <v>249</v>
      </c>
      <c r="D124" s="86">
        <v>14505783332.620001</v>
      </c>
      <c r="E124" s="88">
        <v>0</v>
      </c>
      <c r="F124" s="88">
        <v>0</v>
      </c>
      <c r="G124" s="88">
        <v>0</v>
      </c>
      <c r="H124" s="88">
        <v>0</v>
      </c>
      <c r="I124" s="147">
        <f t="shared" ref="I124:I187" si="87">D124+E124-F124+G124-H124</f>
        <v>14505783332.620001</v>
      </c>
      <c r="J124" s="147">
        <v>0</v>
      </c>
      <c r="K124" s="147">
        <v>0</v>
      </c>
      <c r="L124" s="147">
        <v>0</v>
      </c>
      <c r="M124" s="147">
        <v>0</v>
      </c>
      <c r="N124" s="147">
        <v>0</v>
      </c>
      <c r="O124" s="147">
        <v>0</v>
      </c>
      <c r="P124" s="147">
        <v>0</v>
      </c>
      <c r="Q124" s="147">
        <v>0</v>
      </c>
      <c r="R124" s="147">
        <v>0</v>
      </c>
      <c r="S124" s="147">
        <v>0</v>
      </c>
      <c r="T124" s="147">
        <v>0</v>
      </c>
      <c r="U124" s="147">
        <v>0</v>
      </c>
      <c r="V124" s="147">
        <v>0</v>
      </c>
      <c r="W124" s="64">
        <f>I124-V124</f>
        <v>14505783332.620001</v>
      </c>
    </row>
    <row r="125" spans="1:66" x14ac:dyDescent="0.2">
      <c r="A125" s="160">
        <v>2</v>
      </c>
      <c r="B125" s="9" t="s">
        <v>197</v>
      </c>
      <c r="C125" s="8" t="s">
        <v>107</v>
      </c>
      <c r="D125" s="86">
        <v>63827916809</v>
      </c>
      <c r="E125" s="88">
        <v>0</v>
      </c>
      <c r="F125" s="88">
        <v>0</v>
      </c>
      <c r="G125" s="88">
        <v>0</v>
      </c>
      <c r="H125" s="88">
        <v>0</v>
      </c>
      <c r="I125" s="147">
        <f t="shared" si="87"/>
        <v>63827916809</v>
      </c>
      <c r="J125" s="147">
        <v>0</v>
      </c>
      <c r="K125" s="147">
        <v>0</v>
      </c>
      <c r="L125" s="147">
        <v>0</v>
      </c>
      <c r="M125" s="147">
        <v>0</v>
      </c>
      <c r="N125" s="147">
        <v>0</v>
      </c>
      <c r="O125" s="147">
        <v>0</v>
      </c>
      <c r="P125" s="147">
        <v>0</v>
      </c>
      <c r="Q125" s="147">
        <v>0</v>
      </c>
      <c r="R125" s="147">
        <v>0</v>
      </c>
      <c r="S125" s="147">
        <v>0</v>
      </c>
      <c r="T125" s="147">
        <v>0</v>
      </c>
      <c r="U125" s="147">
        <v>0</v>
      </c>
      <c r="V125" s="147">
        <v>0</v>
      </c>
      <c r="W125" s="64">
        <f t="shared" ref="W125:W188" si="88">I125-V125</f>
        <v>63827916809</v>
      </c>
    </row>
    <row r="126" spans="1:66" x14ac:dyDescent="0.2">
      <c r="A126" s="160">
        <v>3</v>
      </c>
      <c r="B126" s="9" t="s">
        <v>250</v>
      </c>
      <c r="C126" s="8" t="s">
        <v>249</v>
      </c>
      <c r="D126" s="86">
        <v>490554655.33999997</v>
      </c>
      <c r="E126" s="88">
        <v>0</v>
      </c>
      <c r="F126" s="88">
        <v>0</v>
      </c>
      <c r="G126" s="88">
        <v>0</v>
      </c>
      <c r="H126" s="88">
        <v>0</v>
      </c>
      <c r="I126" s="147">
        <f t="shared" si="87"/>
        <v>490554655.33999997</v>
      </c>
      <c r="J126" s="147">
        <v>0</v>
      </c>
      <c r="K126" s="147">
        <v>0</v>
      </c>
      <c r="L126" s="147">
        <v>0</v>
      </c>
      <c r="M126" s="147">
        <v>0</v>
      </c>
      <c r="N126" s="147">
        <v>0</v>
      </c>
      <c r="O126" s="147">
        <v>0</v>
      </c>
      <c r="P126" s="147">
        <v>0</v>
      </c>
      <c r="Q126" s="147">
        <v>0</v>
      </c>
      <c r="R126" s="147">
        <v>0</v>
      </c>
      <c r="S126" s="147">
        <v>0</v>
      </c>
      <c r="T126" s="147">
        <v>0</v>
      </c>
      <c r="U126" s="147">
        <v>0</v>
      </c>
      <c r="V126" s="147">
        <v>0</v>
      </c>
      <c r="W126" s="64">
        <f t="shared" si="88"/>
        <v>490554655.33999997</v>
      </c>
    </row>
    <row r="127" spans="1:66" x14ac:dyDescent="0.2">
      <c r="A127" s="160">
        <v>4</v>
      </c>
      <c r="B127" s="9" t="s">
        <v>251</v>
      </c>
      <c r="C127" s="8" t="s">
        <v>107</v>
      </c>
      <c r="D127" s="86">
        <v>2102462019.4000001</v>
      </c>
      <c r="E127" s="88">
        <v>0</v>
      </c>
      <c r="F127" s="88">
        <v>0</v>
      </c>
      <c r="G127" s="88">
        <v>0</v>
      </c>
      <c r="H127" s="88">
        <v>0</v>
      </c>
      <c r="I127" s="147">
        <f t="shared" si="87"/>
        <v>2102462019.4000001</v>
      </c>
      <c r="J127" s="147">
        <v>0</v>
      </c>
      <c r="K127" s="147">
        <v>0</v>
      </c>
      <c r="L127" s="147">
        <v>0</v>
      </c>
      <c r="M127" s="147">
        <v>0</v>
      </c>
      <c r="N127" s="147">
        <v>0</v>
      </c>
      <c r="O127" s="147">
        <v>0</v>
      </c>
      <c r="P127" s="147">
        <v>0</v>
      </c>
      <c r="Q127" s="147">
        <v>0</v>
      </c>
      <c r="R127" s="147">
        <v>0</v>
      </c>
      <c r="S127" s="147">
        <v>0</v>
      </c>
      <c r="T127" s="147">
        <v>0</v>
      </c>
      <c r="U127" s="147">
        <v>0</v>
      </c>
      <c r="V127" s="147">
        <v>0</v>
      </c>
      <c r="W127" s="64">
        <f t="shared" si="88"/>
        <v>2102462019.4000001</v>
      </c>
    </row>
    <row r="128" spans="1:66" x14ac:dyDescent="0.2">
      <c r="A128" s="160">
        <v>5</v>
      </c>
      <c r="B128" s="9" t="s">
        <v>251</v>
      </c>
      <c r="C128" s="8" t="s">
        <v>107</v>
      </c>
      <c r="D128" s="86">
        <v>125749927.59999999</v>
      </c>
      <c r="E128" s="88">
        <v>0</v>
      </c>
      <c r="F128" s="88">
        <v>0</v>
      </c>
      <c r="G128" s="88">
        <v>0</v>
      </c>
      <c r="H128" s="88">
        <v>0</v>
      </c>
      <c r="I128" s="147">
        <f t="shared" si="87"/>
        <v>125749927.59999999</v>
      </c>
      <c r="J128" s="147">
        <v>0</v>
      </c>
      <c r="K128" s="147">
        <v>0</v>
      </c>
      <c r="L128" s="147">
        <v>0</v>
      </c>
      <c r="M128" s="147">
        <v>0</v>
      </c>
      <c r="N128" s="147">
        <v>0</v>
      </c>
      <c r="O128" s="147">
        <v>0</v>
      </c>
      <c r="P128" s="147">
        <v>0</v>
      </c>
      <c r="Q128" s="147">
        <v>0</v>
      </c>
      <c r="R128" s="147">
        <v>0</v>
      </c>
      <c r="S128" s="147">
        <v>0</v>
      </c>
      <c r="T128" s="147">
        <v>0</v>
      </c>
      <c r="U128" s="147">
        <v>0</v>
      </c>
      <c r="V128" s="147">
        <v>0</v>
      </c>
      <c r="W128" s="64">
        <f t="shared" si="88"/>
        <v>125749927.59999999</v>
      </c>
    </row>
    <row r="129" spans="1:23" ht="32.25" customHeight="1" x14ac:dyDescent="0.2">
      <c r="A129" s="160">
        <v>6</v>
      </c>
      <c r="B129" s="9" t="s">
        <v>252</v>
      </c>
      <c r="C129" s="8" t="s">
        <v>253</v>
      </c>
      <c r="D129" s="86">
        <v>9048000</v>
      </c>
      <c r="E129" s="88">
        <v>0</v>
      </c>
      <c r="F129" s="88">
        <v>0</v>
      </c>
      <c r="G129" s="88">
        <v>0</v>
      </c>
      <c r="H129" s="88">
        <v>0</v>
      </c>
      <c r="I129" s="147">
        <f t="shared" si="87"/>
        <v>9048000</v>
      </c>
      <c r="J129" s="147">
        <v>0</v>
      </c>
      <c r="K129" s="147">
        <v>0</v>
      </c>
      <c r="L129" s="147">
        <v>0</v>
      </c>
      <c r="M129" s="147">
        <v>0</v>
      </c>
      <c r="N129" s="147">
        <v>0</v>
      </c>
      <c r="O129" s="147">
        <v>0</v>
      </c>
      <c r="P129" s="147">
        <v>0</v>
      </c>
      <c r="Q129" s="147">
        <v>0</v>
      </c>
      <c r="R129" s="147">
        <v>0</v>
      </c>
      <c r="S129" s="147">
        <v>0</v>
      </c>
      <c r="T129" s="147">
        <v>0</v>
      </c>
      <c r="U129" s="147">
        <v>0</v>
      </c>
      <c r="V129" s="147">
        <v>0</v>
      </c>
      <c r="W129" s="64">
        <f t="shared" si="88"/>
        <v>9048000</v>
      </c>
    </row>
    <row r="130" spans="1:23" ht="30" customHeight="1" x14ac:dyDescent="0.2">
      <c r="A130" s="160">
        <v>7</v>
      </c>
      <c r="B130" s="9" t="s">
        <v>252</v>
      </c>
      <c r="C130" s="8" t="s">
        <v>253</v>
      </c>
      <c r="D130" s="86">
        <v>12000000</v>
      </c>
      <c r="E130" s="88">
        <v>0</v>
      </c>
      <c r="F130" s="88">
        <v>0</v>
      </c>
      <c r="G130" s="88">
        <v>0</v>
      </c>
      <c r="H130" s="88">
        <v>0</v>
      </c>
      <c r="I130" s="147">
        <f t="shared" si="87"/>
        <v>12000000</v>
      </c>
      <c r="J130" s="147">
        <v>0</v>
      </c>
      <c r="K130" s="147">
        <v>0</v>
      </c>
      <c r="L130" s="147">
        <v>0</v>
      </c>
      <c r="M130" s="147">
        <v>0</v>
      </c>
      <c r="N130" s="147">
        <v>0</v>
      </c>
      <c r="O130" s="147">
        <v>0</v>
      </c>
      <c r="P130" s="147">
        <v>0</v>
      </c>
      <c r="Q130" s="147">
        <v>0</v>
      </c>
      <c r="R130" s="147">
        <v>0</v>
      </c>
      <c r="S130" s="147">
        <v>0</v>
      </c>
      <c r="T130" s="147">
        <v>0</v>
      </c>
      <c r="U130" s="147">
        <v>0</v>
      </c>
      <c r="V130" s="147">
        <v>0</v>
      </c>
      <c r="W130" s="64">
        <f t="shared" si="88"/>
        <v>12000000</v>
      </c>
    </row>
    <row r="131" spans="1:23" ht="27.75" customHeight="1" x14ac:dyDescent="0.2">
      <c r="A131" s="160">
        <v>8</v>
      </c>
      <c r="B131" s="9" t="s">
        <v>254</v>
      </c>
      <c r="C131" s="8" t="s">
        <v>102</v>
      </c>
      <c r="D131" s="86">
        <v>41974000</v>
      </c>
      <c r="E131" s="88">
        <v>0</v>
      </c>
      <c r="F131" s="88">
        <v>0</v>
      </c>
      <c r="G131" s="88">
        <v>0</v>
      </c>
      <c r="H131" s="88">
        <v>0</v>
      </c>
      <c r="I131" s="147">
        <f t="shared" si="87"/>
        <v>41974000</v>
      </c>
      <c r="J131" s="147">
        <v>0</v>
      </c>
      <c r="K131" s="147">
        <v>0</v>
      </c>
      <c r="L131" s="147">
        <v>0</v>
      </c>
      <c r="M131" s="147">
        <v>0</v>
      </c>
      <c r="N131" s="147">
        <v>0</v>
      </c>
      <c r="O131" s="147">
        <v>0</v>
      </c>
      <c r="P131" s="147">
        <v>0</v>
      </c>
      <c r="Q131" s="147">
        <v>0</v>
      </c>
      <c r="R131" s="147">
        <v>0</v>
      </c>
      <c r="S131" s="147">
        <v>0</v>
      </c>
      <c r="T131" s="147">
        <v>0</v>
      </c>
      <c r="U131" s="147">
        <v>0</v>
      </c>
      <c r="V131" s="147">
        <v>0</v>
      </c>
      <c r="W131" s="64">
        <f t="shared" si="88"/>
        <v>41974000</v>
      </c>
    </row>
    <row r="132" spans="1:23" x14ac:dyDescent="0.2">
      <c r="A132" s="160">
        <v>364</v>
      </c>
      <c r="B132" s="9" t="s">
        <v>147</v>
      </c>
      <c r="C132" s="8" t="s">
        <v>249</v>
      </c>
      <c r="D132" s="86">
        <v>6876100.2000000002</v>
      </c>
      <c r="E132" s="88">
        <v>0</v>
      </c>
      <c r="F132" s="88">
        <v>0</v>
      </c>
      <c r="G132" s="88">
        <v>0</v>
      </c>
      <c r="H132" s="88">
        <v>0</v>
      </c>
      <c r="I132" s="147">
        <f t="shared" si="87"/>
        <v>6876100.2000000002</v>
      </c>
      <c r="J132" s="147">
        <v>0</v>
      </c>
      <c r="K132" s="147">
        <v>0</v>
      </c>
      <c r="L132" s="147">
        <v>0</v>
      </c>
      <c r="M132" s="147">
        <v>0</v>
      </c>
      <c r="N132" s="147">
        <v>0</v>
      </c>
      <c r="O132" s="147">
        <v>0</v>
      </c>
      <c r="P132" s="147">
        <v>0</v>
      </c>
      <c r="Q132" s="147">
        <v>0</v>
      </c>
      <c r="R132" s="147">
        <v>0</v>
      </c>
      <c r="S132" s="147">
        <v>0</v>
      </c>
      <c r="T132" s="147">
        <v>0</v>
      </c>
      <c r="U132" s="147">
        <v>0</v>
      </c>
      <c r="V132" s="147">
        <v>0</v>
      </c>
      <c r="W132" s="64">
        <f t="shared" si="88"/>
        <v>6876100.2000000002</v>
      </c>
    </row>
    <row r="133" spans="1:23" x14ac:dyDescent="0.2">
      <c r="A133" s="160">
        <v>365</v>
      </c>
      <c r="B133" s="9" t="s">
        <v>147</v>
      </c>
      <c r="C133" s="8" t="s">
        <v>249</v>
      </c>
      <c r="D133" s="86">
        <v>3257285.1</v>
      </c>
      <c r="E133" s="88">
        <v>0</v>
      </c>
      <c r="F133" s="88">
        <v>0</v>
      </c>
      <c r="G133" s="88">
        <v>0</v>
      </c>
      <c r="H133" s="88">
        <v>0</v>
      </c>
      <c r="I133" s="147">
        <f t="shared" si="87"/>
        <v>3257285.1</v>
      </c>
      <c r="J133" s="147">
        <v>0</v>
      </c>
      <c r="K133" s="147">
        <v>0</v>
      </c>
      <c r="L133" s="147">
        <v>0</v>
      </c>
      <c r="M133" s="147">
        <v>0</v>
      </c>
      <c r="N133" s="147">
        <v>0</v>
      </c>
      <c r="O133" s="147">
        <v>0</v>
      </c>
      <c r="P133" s="147">
        <v>0</v>
      </c>
      <c r="Q133" s="147">
        <v>0</v>
      </c>
      <c r="R133" s="147">
        <v>0</v>
      </c>
      <c r="S133" s="147">
        <v>0</v>
      </c>
      <c r="T133" s="147">
        <v>0</v>
      </c>
      <c r="U133" s="147">
        <v>0</v>
      </c>
      <c r="V133" s="147">
        <v>0</v>
      </c>
      <c r="W133" s="64">
        <f t="shared" si="88"/>
        <v>3257285.1</v>
      </c>
    </row>
    <row r="134" spans="1:23" x14ac:dyDescent="0.2">
      <c r="A134" s="160">
        <v>366</v>
      </c>
      <c r="B134" s="9" t="s">
        <v>147</v>
      </c>
      <c r="C134" s="8" t="s">
        <v>249</v>
      </c>
      <c r="D134" s="86">
        <v>6296011</v>
      </c>
      <c r="E134" s="88">
        <v>0</v>
      </c>
      <c r="F134" s="88">
        <v>0</v>
      </c>
      <c r="G134" s="88">
        <v>0</v>
      </c>
      <c r="H134" s="88">
        <v>0</v>
      </c>
      <c r="I134" s="147">
        <f t="shared" si="87"/>
        <v>6296011</v>
      </c>
      <c r="J134" s="147">
        <v>0</v>
      </c>
      <c r="K134" s="147">
        <v>0</v>
      </c>
      <c r="L134" s="147">
        <v>0</v>
      </c>
      <c r="M134" s="147">
        <v>0</v>
      </c>
      <c r="N134" s="147">
        <v>0</v>
      </c>
      <c r="O134" s="147">
        <v>0</v>
      </c>
      <c r="P134" s="147">
        <v>0</v>
      </c>
      <c r="Q134" s="147">
        <v>0</v>
      </c>
      <c r="R134" s="147">
        <v>0</v>
      </c>
      <c r="S134" s="147">
        <v>0</v>
      </c>
      <c r="T134" s="147">
        <v>0</v>
      </c>
      <c r="U134" s="147">
        <v>0</v>
      </c>
      <c r="V134" s="147">
        <v>0</v>
      </c>
      <c r="W134" s="64">
        <f t="shared" si="88"/>
        <v>6296011</v>
      </c>
    </row>
    <row r="135" spans="1:23" x14ac:dyDescent="0.2">
      <c r="A135" s="160">
        <v>368</v>
      </c>
      <c r="B135" s="9" t="s">
        <v>147</v>
      </c>
      <c r="C135" s="8" t="s">
        <v>249</v>
      </c>
      <c r="D135" s="86">
        <v>4080139.7</v>
      </c>
      <c r="E135" s="88">
        <v>0</v>
      </c>
      <c r="F135" s="88">
        <v>0</v>
      </c>
      <c r="G135" s="88">
        <v>0</v>
      </c>
      <c r="H135" s="88">
        <v>0</v>
      </c>
      <c r="I135" s="147">
        <f t="shared" si="87"/>
        <v>4080139.7</v>
      </c>
      <c r="J135" s="147">
        <v>0</v>
      </c>
      <c r="K135" s="147">
        <v>0</v>
      </c>
      <c r="L135" s="147">
        <v>0</v>
      </c>
      <c r="M135" s="147">
        <v>0</v>
      </c>
      <c r="N135" s="147">
        <v>0</v>
      </c>
      <c r="O135" s="147">
        <v>0</v>
      </c>
      <c r="P135" s="147">
        <v>0</v>
      </c>
      <c r="Q135" s="147">
        <v>0</v>
      </c>
      <c r="R135" s="147">
        <v>0</v>
      </c>
      <c r="S135" s="147">
        <v>0</v>
      </c>
      <c r="T135" s="147">
        <v>0</v>
      </c>
      <c r="U135" s="147">
        <v>0</v>
      </c>
      <c r="V135" s="147">
        <v>0</v>
      </c>
      <c r="W135" s="64">
        <f t="shared" si="88"/>
        <v>4080139.7</v>
      </c>
    </row>
    <row r="136" spans="1:23" x14ac:dyDescent="0.2">
      <c r="A136" s="160">
        <v>369</v>
      </c>
      <c r="B136" s="9" t="s">
        <v>147</v>
      </c>
      <c r="C136" s="8" t="s">
        <v>249</v>
      </c>
      <c r="D136" s="86">
        <v>3220647.9</v>
      </c>
      <c r="E136" s="88">
        <v>0</v>
      </c>
      <c r="F136" s="88">
        <v>0</v>
      </c>
      <c r="G136" s="88">
        <v>0</v>
      </c>
      <c r="H136" s="88">
        <v>0</v>
      </c>
      <c r="I136" s="147">
        <f t="shared" si="87"/>
        <v>3220647.9</v>
      </c>
      <c r="J136" s="147">
        <v>0</v>
      </c>
      <c r="K136" s="147">
        <v>0</v>
      </c>
      <c r="L136" s="147">
        <v>0</v>
      </c>
      <c r="M136" s="147">
        <v>0</v>
      </c>
      <c r="N136" s="147">
        <v>0</v>
      </c>
      <c r="O136" s="147">
        <v>0</v>
      </c>
      <c r="P136" s="147">
        <v>0</v>
      </c>
      <c r="Q136" s="147">
        <v>0</v>
      </c>
      <c r="R136" s="147">
        <v>0</v>
      </c>
      <c r="S136" s="147">
        <v>0</v>
      </c>
      <c r="T136" s="147">
        <v>0</v>
      </c>
      <c r="U136" s="147">
        <v>0</v>
      </c>
      <c r="V136" s="147">
        <v>0</v>
      </c>
      <c r="W136" s="64">
        <f t="shared" si="88"/>
        <v>3220647.9</v>
      </c>
    </row>
    <row r="137" spans="1:23" x14ac:dyDescent="0.2">
      <c r="A137" s="160">
        <v>370</v>
      </c>
      <c r="B137" s="9" t="s">
        <v>147</v>
      </c>
      <c r="C137" s="8" t="s">
        <v>249</v>
      </c>
      <c r="D137" s="86">
        <v>8956108.3000000007</v>
      </c>
      <c r="E137" s="88">
        <v>0</v>
      </c>
      <c r="F137" s="88">
        <v>0</v>
      </c>
      <c r="G137" s="88">
        <v>0</v>
      </c>
      <c r="H137" s="88">
        <v>0</v>
      </c>
      <c r="I137" s="147">
        <f t="shared" si="87"/>
        <v>8956108.3000000007</v>
      </c>
      <c r="J137" s="147">
        <v>0</v>
      </c>
      <c r="K137" s="147">
        <v>0</v>
      </c>
      <c r="L137" s="147">
        <v>0</v>
      </c>
      <c r="M137" s="147">
        <v>0</v>
      </c>
      <c r="N137" s="147">
        <v>0</v>
      </c>
      <c r="O137" s="147">
        <v>0</v>
      </c>
      <c r="P137" s="147">
        <v>0</v>
      </c>
      <c r="Q137" s="147">
        <v>0</v>
      </c>
      <c r="R137" s="147">
        <v>0</v>
      </c>
      <c r="S137" s="147">
        <v>0</v>
      </c>
      <c r="T137" s="147">
        <v>0</v>
      </c>
      <c r="U137" s="147">
        <v>0</v>
      </c>
      <c r="V137" s="147">
        <v>0</v>
      </c>
      <c r="W137" s="64">
        <f t="shared" si="88"/>
        <v>8956108.3000000007</v>
      </c>
    </row>
    <row r="138" spans="1:23" x14ac:dyDescent="0.2">
      <c r="A138" s="160">
        <v>371</v>
      </c>
      <c r="B138" s="9" t="s">
        <v>147</v>
      </c>
      <c r="C138" s="8" t="s">
        <v>249</v>
      </c>
      <c r="D138" s="86">
        <v>7358477.2000000002</v>
      </c>
      <c r="E138" s="88">
        <v>0</v>
      </c>
      <c r="F138" s="88">
        <v>0</v>
      </c>
      <c r="G138" s="88">
        <v>0</v>
      </c>
      <c r="H138" s="88">
        <v>0</v>
      </c>
      <c r="I138" s="147">
        <f t="shared" si="87"/>
        <v>7358477.2000000002</v>
      </c>
      <c r="J138" s="147">
        <v>0</v>
      </c>
      <c r="K138" s="147">
        <v>0</v>
      </c>
      <c r="L138" s="147">
        <v>0</v>
      </c>
      <c r="M138" s="147">
        <v>0</v>
      </c>
      <c r="N138" s="147">
        <v>0</v>
      </c>
      <c r="O138" s="147">
        <v>0</v>
      </c>
      <c r="P138" s="147">
        <v>0</v>
      </c>
      <c r="Q138" s="147">
        <v>0</v>
      </c>
      <c r="R138" s="147">
        <v>0</v>
      </c>
      <c r="S138" s="147">
        <v>0</v>
      </c>
      <c r="T138" s="147">
        <v>0</v>
      </c>
      <c r="U138" s="147">
        <v>0</v>
      </c>
      <c r="V138" s="147">
        <v>0</v>
      </c>
      <c r="W138" s="64">
        <f t="shared" si="88"/>
        <v>7358477.2000000002</v>
      </c>
    </row>
    <row r="139" spans="1:23" x14ac:dyDescent="0.2">
      <c r="A139" s="160">
        <v>373</v>
      </c>
      <c r="B139" s="9" t="s">
        <v>147</v>
      </c>
      <c r="C139" s="8" t="s">
        <v>249</v>
      </c>
      <c r="D139" s="86">
        <v>4019503.7</v>
      </c>
      <c r="E139" s="88">
        <v>0</v>
      </c>
      <c r="F139" s="88">
        <v>0</v>
      </c>
      <c r="G139" s="88">
        <v>0</v>
      </c>
      <c r="H139" s="88">
        <v>0</v>
      </c>
      <c r="I139" s="147">
        <f t="shared" si="87"/>
        <v>4019503.7</v>
      </c>
      <c r="J139" s="147">
        <v>0</v>
      </c>
      <c r="K139" s="147">
        <v>0</v>
      </c>
      <c r="L139" s="147">
        <v>0</v>
      </c>
      <c r="M139" s="147">
        <v>0</v>
      </c>
      <c r="N139" s="147">
        <v>0</v>
      </c>
      <c r="O139" s="147">
        <v>0</v>
      </c>
      <c r="P139" s="147">
        <v>0</v>
      </c>
      <c r="Q139" s="147">
        <v>0</v>
      </c>
      <c r="R139" s="147">
        <v>0</v>
      </c>
      <c r="S139" s="147">
        <v>0</v>
      </c>
      <c r="T139" s="147">
        <v>0</v>
      </c>
      <c r="U139" s="147">
        <v>0</v>
      </c>
      <c r="V139" s="147">
        <v>0</v>
      </c>
      <c r="W139" s="64">
        <f t="shared" si="88"/>
        <v>4019503.7</v>
      </c>
    </row>
    <row r="140" spans="1:23" x14ac:dyDescent="0.2">
      <c r="A140" s="160">
        <v>374</v>
      </c>
      <c r="B140" s="9" t="s">
        <v>147</v>
      </c>
      <c r="C140" s="8" t="s">
        <v>249</v>
      </c>
      <c r="D140" s="86">
        <v>3230653.9</v>
      </c>
      <c r="E140" s="88">
        <v>0</v>
      </c>
      <c r="F140" s="88">
        <v>0</v>
      </c>
      <c r="G140" s="88">
        <v>0</v>
      </c>
      <c r="H140" s="88">
        <v>0</v>
      </c>
      <c r="I140" s="147">
        <f t="shared" si="87"/>
        <v>3230653.9</v>
      </c>
      <c r="J140" s="147">
        <v>0</v>
      </c>
      <c r="K140" s="147">
        <v>0</v>
      </c>
      <c r="L140" s="147">
        <v>0</v>
      </c>
      <c r="M140" s="147">
        <v>0</v>
      </c>
      <c r="N140" s="147">
        <v>0</v>
      </c>
      <c r="O140" s="147">
        <v>0</v>
      </c>
      <c r="P140" s="147">
        <v>0</v>
      </c>
      <c r="Q140" s="147">
        <v>0</v>
      </c>
      <c r="R140" s="147">
        <v>0</v>
      </c>
      <c r="S140" s="147">
        <v>0</v>
      </c>
      <c r="T140" s="147">
        <v>0</v>
      </c>
      <c r="U140" s="147">
        <v>0</v>
      </c>
      <c r="V140" s="147">
        <v>0</v>
      </c>
      <c r="W140" s="64">
        <f t="shared" si="88"/>
        <v>3230653.9</v>
      </c>
    </row>
    <row r="141" spans="1:23" x14ac:dyDescent="0.2">
      <c r="A141" s="160">
        <v>375</v>
      </c>
      <c r="B141" s="9" t="s">
        <v>147</v>
      </c>
      <c r="C141" s="8" t="s">
        <v>249</v>
      </c>
      <c r="D141" s="86">
        <v>3193728.1</v>
      </c>
      <c r="E141" s="88">
        <v>0</v>
      </c>
      <c r="F141" s="88">
        <v>0</v>
      </c>
      <c r="G141" s="88">
        <v>0</v>
      </c>
      <c r="H141" s="88">
        <v>0</v>
      </c>
      <c r="I141" s="147">
        <f t="shared" si="87"/>
        <v>3193728.1</v>
      </c>
      <c r="J141" s="147">
        <v>0</v>
      </c>
      <c r="K141" s="147">
        <v>0</v>
      </c>
      <c r="L141" s="147">
        <v>0</v>
      </c>
      <c r="M141" s="147">
        <v>0</v>
      </c>
      <c r="N141" s="147">
        <v>0</v>
      </c>
      <c r="O141" s="147">
        <v>0</v>
      </c>
      <c r="P141" s="147">
        <v>0</v>
      </c>
      <c r="Q141" s="147">
        <v>0</v>
      </c>
      <c r="R141" s="147">
        <v>0</v>
      </c>
      <c r="S141" s="147">
        <v>0</v>
      </c>
      <c r="T141" s="147">
        <v>0</v>
      </c>
      <c r="U141" s="147">
        <v>0</v>
      </c>
      <c r="V141" s="147">
        <v>0</v>
      </c>
      <c r="W141" s="64">
        <f t="shared" si="88"/>
        <v>3193728.1</v>
      </c>
    </row>
    <row r="142" spans="1:23" x14ac:dyDescent="0.2">
      <c r="A142" s="160">
        <v>385</v>
      </c>
      <c r="B142" s="9" t="s">
        <v>147</v>
      </c>
      <c r="C142" s="8" t="s">
        <v>249</v>
      </c>
      <c r="D142" s="86">
        <v>3805855.9</v>
      </c>
      <c r="E142" s="88">
        <v>0</v>
      </c>
      <c r="F142" s="88">
        <v>0</v>
      </c>
      <c r="G142" s="88">
        <v>0</v>
      </c>
      <c r="H142" s="88">
        <v>0</v>
      </c>
      <c r="I142" s="147">
        <f t="shared" si="87"/>
        <v>3805855.9</v>
      </c>
      <c r="J142" s="147">
        <v>0</v>
      </c>
      <c r="K142" s="147">
        <v>0</v>
      </c>
      <c r="L142" s="147">
        <v>0</v>
      </c>
      <c r="M142" s="147">
        <v>0</v>
      </c>
      <c r="N142" s="147">
        <v>0</v>
      </c>
      <c r="O142" s="147">
        <v>0</v>
      </c>
      <c r="P142" s="147">
        <v>0</v>
      </c>
      <c r="Q142" s="147">
        <v>0</v>
      </c>
      <c r="R142" s="147">
        <v>0</v>
      </c>
      <c r="S142" s="147">
        <v>0</v>
      </c>
      <c r="T142" s="147">
        <v>0</v>
      </c>
      <c r="U142" s="147">
        <v>0</v>
      </c>
      <c r="V142" s="147">
        <v>0</v>
      </c>
      <c r="W142" s="64">
        <f t="shared" si="88"/>
        <v>3805855.9</v>
      </c>
    </row>
    <row r="143" spans="1:23" x14ac:dyDescent="0.2">
      <c r="A143" s="160">
        <v>386</v>
      </c>
      <c r="B143" s="9" t="s">
        <v>147</v>
      </c>
      <c r="C143" s="8" t="s">
        <v>249</v>
      </c>
      <c r="D143" s="86">
        <v>6766437.5</v>
      </c>
      <c r="E143" s="88">
        <v>0</v>
      </c>
      <c r="F143" s="88">
        <v>0</v>
      </c>
      <c r="G143" s="88">
        <v>0</v>
      </c>
      <c r="H143" s="88">
        <v>0</v>
      </c>
      <c r="I143" s="147">
        <f t="shared" si="87"/>
        <v>6766437.5</v>
      </c>
      <c r="J143" s="147">
        <v>0</v>
      </c>
      <c r="K143" s="147">
        <v>0</v>
      </c>
      <c r="L143" s="147">
        <v>0</v>
      </c>
      <c r="M143" s="147">
        <v>0</v>
      </c>
      <c r="N143" s="147">
        <v>0</v>
      </c>
      <c r="O143" s="147">
        <v>0</v>
      </c>
      <c r="P143" s="147">
        <v>0</v>
      </c>
      <c r="Q143" s="147">
        <v>0</v>
      </c>
      <c r="R143" s="147">
        <v>0</v>
      </c>
      <c r="S143" s="147">
        <v>0</v>
      </c>
      <c r="T143" s="147">
        <v>0</v>
      </c>
      <c r="U143" s="147">
        <v>0</v>
      </c>
      <c r="V143" s="147">
        <v>0</v>
      </c>
      <c r="W143" s="64">
        <f t="shared" si="88"/>
        <v>6766437.5</v>
      </c>
    </row>
    <row r="144" spans="1:23" x14ac:dyDescent="0.2">
      <c r="A144" s="160">
        <v>387</v>
      </c>
      <c r="B144" s="9" t="s">
        <v>147</v>
      </c>
      <c r="C144" s="8" t="s">
        <v>249</v>
      </c>
      <c r="D144" s="86">
        <v>4018250.3</v>
      </c>
      <c r="E144" s="88">
        <v>0</v>
      </c>
      <c r="F144" s="88">
        <v>0</v>
      </c>
      <c r="G144" s="88">
        <v>0</v>
      </c>
      <c r="H144" s="88">
        <v>0</v>
      </c>
      <c r="I144" s="147">
        <f t="shared" si="87"/>
        <v>4018250.3</v>
      </c>
      <c r="J144" s="147">
        <v>0</v>
      </c>
      <c r="K144" s="147">
        <v>0</v>
      </c>
      <c r="L144" s="147">
        <v>0</v>
      </c>
      <c r="M144" s="147">
        <v>0</v>
      </c>
      <c r="N144" s="147">
        <v>0</v>
      </c>
      <c r="O144" s="147">
        <v>0</v>
      </c>
      <c r="P144" s="147">
        <v>0</v>
      </c>
      <c r="Q144" s="147">
        <v>0</v>
      </c>
      <c r="R144" s="147">
        <v>0</v>
      </c>
      <c r="S144" s="147">
        <v>0</v>
      </c>
      <c r="T144" s="147">
        <v>0</v>
      </c>
      <c r="U144" s="147">
        <v>0</v>
      </c>
      <c r="V144" s="147">
        <v>0</v>
      </c>
      <c r="W144" s="64">
        <f t="shared" si="88"/>
        <v>4018250.3</v>
      </c>
    </row>
    <row r="145" spans="1:24" x14ac:dyDescent="0.2">
      <c r="A145" s="160">
        <v>388</v>
      </c>
      <c r="B145" s="9" t="s">
        <v>147</v>
      </c>
      <c r="C145" s="8" t="s">
        <v>249</v>
      </c>
      <c r="D145" s="86">
        <v>3613194.6</v>
      </c>
      <c r="E145" s="88">
        <v>0</v>
      </c>
      <c r="F145" s="88">
        <v>0</v>
      </c>
      <c r="G145" s="88">
        <v>0</v>
      </c>
      <c r="H145" s="88">
        <v>0</v>
      </c>
      <c r="I145" s="147">
        <f t="shared" si="87"/>
        <v>3613194.6</v>
      </c>
      <c r="J145" s="147">
        <v>0</v>
      </c>
      <c r="K145" s="147">
        <v>0</v>
      </c>
      <c r="L145" s="147">
        <v>0</v>
      </c>
      <c r="M145" s="147">
        <v>0</v>
      </c>
      <c r="N145" s="147">
        <v>0</v>
      </c>
      <c r="O145" s="147">
        <v>0</v>
      </c>
      <c r="P145" s="147">
        <v>0</v>
      </c>
      <c r="Q145" s="147">
        <v>0</v>
      </c>
      <c r="R145" s="147">
        <v>0</v>
      </c>
      <c r="S145" s="147">
        <v>0</v>
      </c>
      <c r="T145" s="147">
        <v>0</v>
      </c>
      <c r="U145" s="147">
        <v>0</v>
      </c>
      <c r="V145" s="147">
        <v>0</v>
      </c>
      <c r="W145" s="64">
        <f t="shared" si="88"/>
        <v>3613194.6</v>
      </c>
    </row>
    <row r="146" spans="1:24" x14ac:dyDescent="0.2">
      <c r="A146" s="160">
        <v>389</v>
      </c>
      <c r="B146" s="9" t="s">
        <v>147</v>
      </c>
      <c r="C146" s="8" t="s">
        <v>249</v>
      </c>
      <c r="D146" s="86">
        <v>3189595.8</v>
      </c>
      <c r="E146" s="88">
        <v>0</v>
      </c>
      <c r="F146" s="88">
        <v>0</v>
      </c>
      <c r="G146" s="88">
        <v>0</v>
      </c>
      <c r="H146" s="88">
        <v>0</v>
      </c>
      <c r="I146" s="147">
        <f t="shared" si="87"/>
        <v>3189595.8</v>
      </c>
      <c r="J146" s="147">
        <v>0</v>
      </c>
      <c r="K146" s="147">
        <v>0</v>
      </c>
      <c r="L146" s="147">
        <v>0</v>
      </c>
      <c r="M146" s="147">
        <v>0</v>
      </c>
      <c r="N146" s="147">
        <v>0</v>
      </c>
      <c r="O146" s="147">
        <v>0</v>
      </c>
      <c r="P146" s="147">
        <v>0</v>
      </c>
      <c r="Q146" s="147">
        <v>0</v>
      </c>
      <c r="R146" s="147">
        <v>0</v>
      </c>
      <c r="S146" s="147">
        <v>0</v>
      </c>
      <c r="T146" s="147">
        <v>0</v>
      </c>
      <c r="U146" s="147">
        <v>0</v>
      </c>
      <c r="V146" s="147">
        <v>0</v>
      </c>
      <c r="W146" s="64">
        <f t="shared" si="88"/>
        <v>3189595.8</v>
      </c>
    </row>
    <row r="147" spans="1:24" x14ac:dyDescent="0.2">
      <c r="A147" s="160">
        <v>400</v>
      </c>
      <c r="B147" s="9" t="s">
        <v>147</v>
      </c>
      <c r="C147" s="8" t="s">
        <v>249</v>
      </c>
      <c r="D147" s="86">
        <v>3746506.4</v>
      </c>
      <c r="E147" s="88">
        <v>0</v>
      </c>
      <c r="F147" s="88">
        <v>0</v>
      </c>
      <c r="G147" s="88">
        <v>0</v>
      </c>
      <c r="H147" s="88">
        <v>0</v>
      </c>
      <c r="I147" s="147">
        <f t="shared" si="87"/>
        <v>3746506.4</v>
      </c>
      <c r="J147" s="147">
        <v>0</v>
      </c>
      <c r="K147" s="147">
        <v>0</v>
      </c>
      <c r="L147" s="147">
        <v>0</v>
      </c>
      <c r="M147" s="147">
        <v>0</v>
      </c>
      <c r="N147" s="147">
        <v>0</v>
      </c>
      <c r="O147" s="147">
        <v>0</v>
      </c>
      <c r="P147" s="147">
        <v>0</v>
      </c>
      <c r="Q147" s="147">
        <v>0</v>
      </c>
      <c r="R147" s="147">
        <v>0</v>
      </c>
      <c r="S147" s="147">
        <v>0</v>
      </c>
      <c r="T147" s="147">
        <v>0</v>
      </c>
      <c r="U147" s="147">
        <v>0</v>
      </c>
      <c r="V147" s="147">
        <v>0</v>
      </c>
      <c r="W147" s="64">
        <f t="shared" si="88"/>
        <v>3746506.4</v>
      </c>
    </row>
    <row r="148" spans="1:24" x14ac:dyDescent="0.2">
      <c r="A148" s="160">
        <v>405</v>
      </c>
      <c r="B148" s="9" t="s">
        <v>147</v>
      </c>
      <c r="C148" s="8" t="s">
        <v>249</v>
      </c>
      <c r="D148" s="86">
        <v>3239743.6</v>
      </c>
      <c r="E148" s="88">
        <v>0</v>
      </c>
      <c r="F148" s="88">
        <v>0</v>
      </c>
      <c r="G148" s="88">
        <v>0</v>
      </c>
      <c r="H148" s="88">
        <v>0</v>
      </c>
      <c r="I148" s="147">
        <f t="shared" si="87"/>
        <v>3239743.6</v>
      </c>
      <c r="J148" s="147">
        <v>0</v>
      </c>
      <c r="K148" s="147">
        <v>0</v>
      </c>
      <c r="L148" s="147">
        <v>0</v>
      </c>
      <c r="M148" s="147">
        <v>0</v>
      </c>
      <c r="N148" s="147">
        <v>0</v>
      </c>
      <c r="O148" s="147">
        <v>0</v>
      </c>
      <c r="P148" s="147">
        <v>0</v>
      </c>
      <c r="Q148" s="147">
        <v>0</v>
      </c>
      <c r="R148" s="147">
        <v>0</v>
      </c>
      <c r="S148" s="147">
        <v>0</v>
      </c>
      <c r="T148" s="147">
        <v>0</v>
      </c>
      <c r="U148" s="147">
        <v>0</v>
      </c>
      <c r="V148" s="147">
        <v>0</v>
      </c>
      <c r="W148" s="64">
        <f t="shared" si="88"/>
        <v>3239743.6</v>
      </c>
    </row>
    <row r="149" spans="1:24" ht="12.75" customHeight="1" x14ac:dyDescent="0.2">
      <c r="A149" s="160">
        <v>409</v>
      </c>
      <c r="B149" s="9" t="s">
        <v>252</v>
      </c>
      <c r="C149" s="8" t="s">
        <v>253</v>
      </c>
      <c r="D149" s="86">
        <v>46110950.200000003</v>
      </c>
      <c r="E149" s="88">
        <v>0</v>
      </c>
      <c r="F149" s="88">
        <v>0</v>
      </c>
      <c r="G149" s="88">
        <v>0</v>
      </c>
      <c r="H149" s="88">
        <v>0</v>
      </c>
      <c r="I149" s="147">
        <f t="shared" si="87"/>
        <v>46110950.200000003</v>
      </c>
      <c r="J149" s="88">
        <v>0</v>
      </c>
      <c r="K149" s="88">
        <v>0</v>
      </c>
      <c r="L149" s="88">
        <v>0</v>
      </c>
      <c r="M149" s="88">
        <v>0</v>
      </c>
      <c r="N149" s="88">
        <v>0</v>
      </c>
      <c r="O149" s="88">
        <v>0</v>
      </c>
      <c r="P149" s="88">
        <v>0</v>
      </c>
      <c r="Q149" s="88">
        <v>0</v>
      </c>
      <c r="R149" s="88">
        <v>0</v>
      </c>
      <c r="S149" s="88">
        <v>0</v>
      </c>
      <c r="T149" s="88">
        <v>0</v>
      </c>
      <c r="U149" s="88">
        <v>0</v>
      </c>
      <c r="V149" s="88">
        <v>0</v>
      </c>
      <c r="W149" s="64">
        <f t="shared" si="88"/>
        <v>46110950.200000003</v>
      </c>
    </row>
    <row r="150" spans="1:24" ht="27" customHeight="1" x14ac:dyDescent="0.2">
      <c r="A150" s="160">
        <v>410</v>
      </c>
      <c r="B150" s="9" t="s">
        <v>254</v>
      </c>
      <c r="C150" s="8" t="s">
        <v>102</v>
      </c>
      <c r="D150" s="86">
        <v>271995556.69999999</v>
      </c>
      <c r="E150" s="88">
        <v>0</v>
      </c>
      <c r="F150" s="88">
        <v>0</v>
      </c>
      <c r="G150" s="88">
        <v>0</v>
      </c>
      <c r="H150" s="88">
        <v>0</v>
      </c>
      <c r="I150" s="147">
        <f t="shared" si="87"/>
        <v>271995556.69999999</v>
      </c>
      <c r="J150" s="88">
        <v>0</v>
      </c>
      <c r="K150" s="88">
        <v>0</v>
      </c>
      <c r="L150" s="88">
        <v>0</v>
      </c>
      <c r="M150" s="88">
        <v>0</v>
      </c>
      <c r="N150" s="88">
        <v>0</v>
      </c>
      <c r="O150" s="88">
        <v>0</v>
      </c>
      <c r="P150" s="88">
        <v>0</v>
      </c>
      <c r="Q150" s="88">
        <v>0</v>
      </c>
      <c r="R150" s="88">
        <v>0</v>
      </c>
      <c r="S150" s="88">
        <v>0</v>
      </c>
      <c r="T150" s="88">
        <v>0</v>
      </c>
      <c r="U150" s="88">
        <v>0</v>
      </c>
      <c r="V150" s="88">
        <v>0</v>
      </c>
      <c r="W150" s="64">
        <f t="shared" si="88"/>
        <v>271995556.69999999</v>
      </c>
    </row>
    <row r="151" spans="1:24" x14ac:dyDescent="0.2">
      <c r="A151" s="160">
        <v>414</v>
      </c>
      <c r="B151" s="9" t="s">
        <v>147</v>
      </c>
      <c r="C151" s="8" t="s">
        <v>249</v>
      </c>
      <c r="D151" s="86">
        <v>6547743.4000000004</v>
      </c>
      <c r="E151" s="88">
        <v>0</v>
      </c>
      <c r="F151" s="88">
        <v>0</v>
      </c>
      <c r="G151" s="88">
        <v>0</v>
      </c>
      <c r="H151" s="88">
        <v>0</v>
      </c>
      <c r="I151" s="147">
        <f t="shared" si="87"/>
        <v>6547743.4000000004</v>
      </c>
      <c r="J151" s="88">
        <v>0</v>
      </c>
      <c r="K151" s="88">
        <v>0</v>
      </c>
      <c r="L151" s="88">
        <v>0</v>
      </c>
      <c r="M151" s="88">
        <v>0</v>
      </c>
      <c r="N151" s="88">
        <v>0</v>
      </c>
      <c r="O151" s="88">
        <v>0</v>
      </c>
      <c r="P151" s="88">
        <v>0</v>
      </c>
      <c r="Q151" s="88">
        <v>0</v>
      </c>
      <c r="R151" s="88">
        <v>0</v>
      </c>
      <c r="S151" s="88">
        <v>0</v>
      </c>
      <c r="T151" s="88">
        <v>0</v>
      </c>
      <c r="U151" s="88">
        <v>0</v>
      </c>
      <c r="V151" s="88">
        <v>0</v>
      </c>
      <c r="W151" s="64">
        <f t="shared" si="88"/>
        <v>6547743.4000000004</v>
      </c>
    </row>
    <row r="152" spans="1:24" x14ac:dyDescent="0.2">
      <c r="A152" s="160">
        <v>729</v>
      </c>
      <c r="B152" s="9" t="s">
        <v>231</v>
      </c>
      <c r="C152" s="8" t="s">
        <v>107</v>
      </c>
      <c r="D152" s="86">
        <v>238235978.69</v>
      </c>
      <c r="E152" s="88">
        <v>0</v>
      </c>
      <c r="F152" s="88">
        <v>0</v>
      </c>
      <c r="G152" s="88">
        <v>0</v>
      </c>
      <c r="H152" s="88">
        <v>0</v>
      </c>
      <c r="I152" s="147">
        <f t="shared" si="87"/>
        <v>238235978.69</v>
      </c>
      <c r="J152" s="88">
        <v>0</v>
      </c>
      <c r="K152" s="88">
        <v>0</v>
      </c>
      <c r="L152" s="88">
        <v>0</v>
      </c>
      <c r="M152" s="88">
        <v>0</v>
      </c>
      <c r="N152" s="88">
        <v>0</v>
      </c>
      <c r="O152" s="88">
        <v>0</v>
      </c>
      <c r="P152" s="88">
        <v>0</v>
      </c>
      <c r="Q152" s="88">
        <v>0</v>
      </c>
      <c r="R152" s="88">
        <v>0</v>
      </c>
      <c r="S152" s="88">
        <v>0</v>
      </c>
      <c r="T152" s="88">
        <v>0</v>
      </c>
      <c r="U152" s="88">
        <v>0</v>
      </c>
      <c r="V152" s="88">
        <v>0</v>
      </c>
      <c r="W152" s="149">
        <f t="shared" si="88"/>
        <v>238235978.69</v>
      </c>
      <c r="X152" s="150"/>
    </row>
    <row r="153" spans="1:24" ht="29.25" customHeight="1" x14ac:dyDescent="0.2">
      <c r="A153" s="160">
        <v>730</v>
      </c>
      <c r="B153" s="9" t="s">
        <v>232</v>
      </c>
      <c r="C153" s="8" t="s">
        <v>102</v>
      </c>
      <c r="D153" s="86">
        <v>4994504.74</v>
      </c>
      <c r="E153" s="88">
        <v>0</v>
      </c>
      <c r="F153" s="88">
        <v>0</v>
      </c>
      <c r="G153" s="88">
        <v>0</v>
      </c>
      <c r="H153" s="88">
        <v>0</v>
      </c>
      <c r="I153" s="147">
        <f t="shared" si="87"/>
        <v>4994504.74</v>
      </c>
      <c r="J153" s="88">
        <v>0</v>
      </c>
      <c r="K153" s="88">
        <v>0</v>
      </c>
      <c r="L153" s="88">
        <v>0</v>
      </c>
      <c r="M153" s="88">
        <v>0</v>
      </c>
      <c r="N153" s="88">
        <v>0</v>
      </c>
      <c r="O153" s="88">
        <v>0</v>
      </c>
      <c r="P153" s="88">
        <v>0</v>
      </c>
      <c r="Q153" s="88">
        <v>0</v>
      </c>
      <c r="R153" s="88">
        <v>0</v>
      </c>
      <c r="S153" s="88">
        <v>0</v>
      </c>
      <c r="T153" s="88">
        <v>0</v>
      </c>
      <c r="U153" s="88">
        <v>0</v>
      </c>
      <c r="V153" s="88">
        <v>0</v>
      </c>
      <c r="W153" s="149">
        <f t="shared" si="88"/>
        <v>4994504.74</v>
      </c>
      <c r="X153" s="151"/>
    </row>
    <row r="154" spans="1:24" ht="29.25" customHeight="1" x14ac:dyDescent="0.2">
      <c r="A154" s="160">
        <v>731</v>
      </c>
      <c r="B154" s="9" t="s">
        <v>232</v>
      </c>
      <c r="C154" s="8" t="s">
        <v>102</v>
      </c>
      <c r="D154" s="86">
        <v>1714775</v>
      </c>
      <c r="E154" s="88">
        <v>0</v>
      </c>
      <c r="F154" s="88">
        <v>0</v>
      </c>
      <c r="G154" s="88">
        <v>0</v>
      </c>
      <c r="H154" s="88">
        <v>0</v>
      </c>
      <c r="I154" s="147">
        <f t="shared" si="87"/>
        <v>1714775</v>
      </c>
      <c r="J154" s="88">
        <v>0</v>
      </c>
      <c r="K154" s="88">
        <v>0</v>
      </c>
      <c r="L154" s="88">
        <v>0</v>
      </c>
      <c r="M154" s="88">
        <v>0</v>
      </c>
      <c r="N154" s="88">
        <v>0</v>
      </c>
      <c r="O154" s="88">
        <v>0</v>
      </c>
      <c r="P154" s="88">
        <v>0</v>
      </c>
      <c r="Q154" s="88">
        <v>0</v>
      </c>
      <c r="R154" s="88">
        <v>0</v>
      </c>
      <c r="S154" s="88">
        <v>0</v>
      </c>
      <c r="T154" s="88">
        <v>0</v>
      </c>
      <c r="U154" s="88">
        <v>0</v>
      </c>
      <c r="V154" s="88">
        <v>0</v>
      </c>
      <c r="W154" s="149">
        <f t="shared" si="88"/>
        <v>1714775</v>
      </c>
      <c r="X154" s="151"/>
    </row>
    <row r="155" spans="1:24" ht="29.25" customHeight="1" x14ac:dyDescent="0.2">
      <c r="A155" s="160">
        <v>732</v>
      </c>
      <c r="B155" s="9" t="s">
        <v>255</v>
      </c>
      <c r="C155" s="8" t="s">
        <v>102</v>
      </c>
      <c r="D155" s="86">
        <v>7283922.2699999996</v>
      </c>
      <c r="E155" s="88">
        <v>0</v>
      </c>
      <c r="F155" s="88">
        <v>0</v>
      </c>
      <c r="G155" s="88">
        <v>0</v>
      </c>
      <c r="H155" s="88">
        <v>0</v>
      </c>
      <c r="I155" s="147">
        <f t="shared" si="87"/>
        <v>7283922.2699999996</v>
      </c>
      <c r="J155" s="88">
        <v>0</v>
      </c>
      <c r="K155" s="88">
        <v>0</v>
      </c>
      <c r="L155" s="88">
        <v>0</v>
      </c>
      <c r="M155" s="88">
        <v>0</v>
      </c>
      <c r="N155" s="88">
        <v>0</v>
      </c>
      <c r="O155" s="88">
        <v>0</v>
      </c>
      <c r="P155" s="88">
        <v>0</v>
      </c>
      <c r="Q155" s="88">
        <v>0</v>
      </c>
      <c r="R155" s="88">
        <v>0</v>
      </c>
      <c r="S155" s="88">
        <v>0</v>
      </c>
      <c r="T155" s="88">
        <v>0</v>
      </c>
      <c r="U155" s="88">
        <v>0</v>
      </c>
      <c r="V155" s="88">
        <v>0</v>
      </c>
      <c r="W155" s="149">
        <f t="shared" si="88"/>
        <v>7283922.2699999996</v>
      </c>
      <c r="X155" s="151"/>
    </row>
    <row r="156" spans="1:24" ht="29.25" customHeight="1" x14ac:dyDescent="0.2">
      <c r="A156" s="160">
        <v>733</v>
      </c>
      <c r="B156" s="9" t="s">
        <v>256</v>
      </c>
      <c r="C156" s="8" t="s">
        <v>107</v>
      </c>
      <c r="D156" s="86">
        <v>1459852622</v>
      </c>
      <c r="E156" s="88">
        <v>0</v>
      </c>
      <c r="F156" s="88">
        <v>0</v>
      </c>
      <c r="G156" s="88">
        <v>0</v>
      </c>
      <c r="H156" s="88">
        <v>0</v>
      </c>
      <c r="I156" s="147">
        <f t="shared" si="87"/>
        <v>1459852622</v>
      </c>
      <c r="J156" s="88">
        <v>0</v>
      </c>
      <c r="K156" s="88">
        <v>0</v>
      </c>
      <c r="L156" s="88">
        <v>0</v>
      </c>
      <c r="M156" s="88">
        <v>0</v>
      </c>
      <c r="N156" s="88">
        <v>0</v>
      </c>
      <c r="O156" s="88">
        <v>0</v>
      </c>
      <c r="P156" s="88">
        <v>0</v>
      </c>
      <c r="Q156" s="88">
        <v>0</v>
      </c>
      <c r="R156" s="88">
        <v>0</v>
      </c>
      <c r="S156" s="88">
        <v>0</v>
      </c>
      <c r="T156" s="88">
        <v>0</v>
      </c>
      <c r="U156" s="88">
        <v>0</v>
      </c>
      <c r="V156" s="88">
        <v>0</v>
      </c>
      <c r="W156" s="149">
        <f t="shared" si="88"/>
        <v>1459852622</v>
      </c>
      <c r="X156" s="151"/>
    </row>
    <row r="157" spans="1:24" ht="29.25" customHeight="1" x14ac:dyDescent="0.2">
      <c r="A157" s="160">
        <v>734</v>
      </c>
      <c r="B157" s="9" t="s">
        <v>256</v>
      </c>
      <c r="C157" s="8" t="s">
        <v>107</v>
      </c>
      <c r="D157" s="86">
        <v>74555799.909999996</v>
      </c>
      <c r="E157" s="88">
        <v>0</v>
      </c>
      <c r="F157" s="88">
        <v>0</v>
      </c>
      <c r="G157" s="88">
        <v>0</v>
      </c>
      <c r="H157" s="88">
        <v>0</v>
      </c>
      <c r="I157" s="147">
        <f t="shared" si="87"/>
        <v>74555799.909999996</v>
      </c>
      <c r="J157" s="88">
        <v>0</v>
      </c>
      <c r="K157" s="88">
        <v>0</v>
      </c>
      <c r="L157" s="88">
        <v>0</v>
      </c>
      <c r="M157" s="88">
        <v>0</v>
      </c>
      <c r="N157" s="88">
        <v>0</v>
      </c>
      <c r="O157" s="88">
        <v>0</v>
      </c>
      <c r="P157" s="88">
        <v>0</v>
      </c>
      <c r="Q157" s="88">
        <v>0</v>
      </c>
      <c r="R157" s="88">
        <v>0</v>
      </c>
      <c r="S157" s="88">
        <v>0</v>
      </c>
      <c r="T157" s="88">
        <v>0</v>
      </c>
      <c r="U157" s="88">
        <v>0</v>
      </c>
      <c r="V157" s="88">
        <v>0</v>
      </c>
      <c r="W157" s="149">
        <f t="shared" si="88"/>
        <v>74555799.909999996</v>
      </c>
      <c r="X157" s="151"/>
    </row>
    <row r="158" spans="1:24" ht="29.25" customHeight="1" x14ac:dyDescent="0.2">
      <c r="A158" s="160">
        <v>735</v>
      </c>
      <c r="B158" s="9" t="s">
        <v>257</v>
      </c>
      <c r="C158" s="8" t="s">
        <v>107</v>
      </c>
      <c r="D158" s="86">
        <v>22599420.09</v>
      </c>
      <c r="E158" s="88">
        <v>0</v>
      </c>
      <c r="F158" s="88">
        <v>0</v>
      </c>
      <c r="G158" s="88">
        <v>0</v>
      </c>
      <c r="H158" s="88">
        <v>0</v>
      </c>
      <c r="I158" s="147">
        <f t="shared" si="87"/>
        <v>22599420.09</v>
      </c>
      <c r="J158" s="88">
        <v>0</v>
      </c>
      <c r="K158" s="88">
        <v>0</v>
      </c>
      <c r="L158" s="88">
        <v>0</v>
      </c>
      <c r="M158" s="88">
        <v>0</v>
      </c>
      <c r="N158" s="88">
        <v>0</v>
      </c>
      <c r="O158" s="88">
        <v>0</v>
      </c>
      <c r="P158" s="88">
        <v>0</v>
      </c>
      <c r="Q158" s="88">
        <v>0</v>
      </c>
      <c r="R158" s="88">
        <v>0</v>
      </c>
      <c r="S158" s="88">
        <v>0</v>
      </c>
      <c r="T158" s="88">
        <v>0</v>
      </c>
      <c r="U158" s="88">
        <v>0</v>
      </c>
      <c r="V158" s="88">
        <v>0</v>
      </c>
      <c r="W158" s="149">
        <f t="shared" si="88"/>
        <v>22599420.09</v>
      </c>
      <c r="X158" s="151"/>
    </row>
    <row r="159" spans="1:24" ht="29.25" customHeight="1" x14ac:dyDescent="0.2">
      <c r="A159" s="160">
        <v>736</v>
      </c>
      <c r="B159" s="9" t="s">
        <v>258</v>
      </c>
      <c r="C159" s="8" t="s">
        <v>102</v>
      </c>
      <c r="D159" s="86">
        <v>120572032</v>
      </c>
      <c r="E159" s="88">
        <v>0</v>
      </c>
      <c r="F159" s="88">
        <v>0</v>
      </c>
      <c r="G159" s="88">
        <v>0</v>
      </c>
      <c r="H159" s="88">
        <v>0</v>
      </c>
      <c r="I159" s="147">
        <f t="shared" si="87"/>
        <v>120572032</v>
      </c>
      <c r="J159" s="88">
        <v>0</v>
      </c>
      <c r="K159" s="88">
        <v>0</v>
      </c>
      <c r="L159" s="88">
        <v>0</v>
      </c>
      <c r="M159" s="88">
        <v>0</v>
      </c>
      <c r="N159" s="88">
        <v>0</v>
      </c>
      <c r="O159" s="88">
        <v>0</v>
      </c>
      <c r="P159" s="88">
        <v>0</v>
      </c>
      <c r="Q159" s="88">
        <v>0</v>
      </c>
      <c r="R159" s="88">
        <v>0</v>
      </c>
      <c r="S159" s="88">
        <v>0</v>
      </c>
      <c r="T159" s="88">
        <v>0</v>
      </c>
      <c r="U159" s="88">
        <v>0</v>
      </c>
      <c r="V159" s="88">
        <v>0</v>
      </c>
      <c r="W159" s="149">
        <f t="shared" si="88"/>
        <v>120572032</v>
      </c>
      <c r="X159" s="151"/>
    </row>
    <row r="160" spans="1:24" ht="29.25" customHeight="1" x14ac:dyDescent="0.2">
      <c r="A160" s="160">
        <v>737</v>
      </c>
      <c r="B160" s="9" t="s">
        <v>259</v>
      </c>
      <c r="C160" s="8" t="s">
        <v>102</v>
      </c>
      <c r="D160" s="86">
        <v>8738025.8499999996</v>
      </c>
      <c r="E160" s="88">
        <v>0</v>
      </c>
      <c r="F160" s="88">
        <v>0</v>
      </c>
      <c r="G160" s="88">
        <v>0</v>
      </c>
      <c r="H160" s="88">
        <v>0</v>
      </c>
      <c r="I160" s="147">
        <f t="shared" si="87"/>
        <v>8738025.8499999996</v>
      </c>
      <c r="J160" s="88">
        <v>0</v>
      </c>
      <c r="K160" s="88">
        <v>0</v>
      </c>
      <c r="L160" s="88">
        <v>0</v>
      </c>
      <c r="M160" s="88">
        <v>0</v>
      </c>
      <c r="N160" s="88">
        <v>0</v>
      </c>
      <c r="O160" s="88">
        <v>0</v>
      </c>
      <c r="P160" s="88">
        <v>0</v>
      </c>
      <c r="Q160" s="88">
        <v>0</v>
      </c>
      <c r="R160" s="88">
        <v>0</v>
      </c>
      <c r="S160" s="88">
        <v>0</v>
      </c>
      <c r="T160" s="88">
        <v>0</v>
      </c>
      <c r="U160" s="88">
        <v>0</v>
      </c>
      <c r="V160" s="88">
        <v>0</v>
      </c>
      <c r="W160" s="149">
        <f t="shared" si="88"/>
        <v>8738025.8499999996</v>
      </c>
      <c r="X160" s="151"/>
    </row>
    <row r="161" spans="1:24" ht="29.25" customHeight="1" x14ac:dyDescent="0.2">
      <c r="A161" s="160">
        <v>738</v>
      </c>
      <c r="B161" s="9" t="s">
        <v>260</v>
      </c>
      <c r="C161" s="8" t="s">
        <v>107</v>
      </c>
      <c r="D161" s="86">
        <v>60000000</v>
      </c>
      <c r="E161" s="88">
        <v>0</v>
      </c>
      <c r="F161" s="88">
        <v>0</v>
      </c>
      <c r="G161" s="88">
        <v>0</v>
      </c>
      <c r="H161" s="88">
        <v>0</v>
      </c>
      <c r="I161" s="147">
        <f t="shared" si="87"/>
        <v>60000000</v>
      </c>
      <c r="J161" s="88">
        <v>0</v>
      </c>
      <c r="K161" s="88">
        <v>0</v>
      </c>
      <c r="L161" s="88">
        <v>0</v>
      </c>
      <c r="M161" s="88">
        <v>0</v>
      </c>
      <c r="N161" s="88">
        <v>0</v>
      </c>
      <c r="O161" s="88">
        <v>0</v>
      </c>
      <c r="P161" s="88">
        <v>0</v>
      </c>
      <c r="Q161" s="88">
        <v>0</v>
      </c>
      <c r="R161" s="88">
        <v>0</v>
      </c>
      <c r="S161" s="88">
        <v>0</v>
      </c>
      <c r="T161" s="88">
        <v>0</v>
      </c>
      <c r="U161" s="88">
        <v>0</v>
      </c>
      <c r="V161" s="88">
        <v>0</v>
      </c>
      <c r="W161" s="149">
        <f t="shared" si="88"/>
        <v>60000000</v>
      </c>
      <c r="X161" s="151"/>
    </row>
    <row r="162" spans="1:24" ht="29.25" customHeight="1" x14ac:dyDescent="0.2">
      <c r="A162" s="160">
        <v>739</v>
      </c>
      <c r="B162" s="9" t="s">
        <v>261</v>
      </c>
      <c r="C162" s="8" t="s">
        <v>107</v>
      </c>
      <c r="D162" s="86">
        <v>676115692.29999995</v>
      </c>
      <c r="E162" s="88">
        <v>0</v>
      </c>
      <c r="F162" s="88">
        <v>0</v>
      </c>
      <c r="G162" s="88">
        <v>0</v>
      </c>
      <c r="H162" s="88">
        <v>0</v>
      </c>
      <c r="I162" s="147">
        <f t="shared" si="87"/>
        <v>676115692.29999995</v>
      </c>
      <c r="J162" s="88">
        <v>0</v>
      </c>
      <c r="K162" s="88">
        <v>0</v>
      </c>
      <c r="L162" s="88">
        <v>0</v>
      </c>
      <c r="M162" s="88">
        <v>0</v>
      </c>
      <c r="N162" s="88">
        <v>0</v>
      </c>
      <c r="O162" s="88">
        <v>0</v>
      </c>
      <c r="P162" s="88">
        <v>0</v>
      </c>
      <c r="Q162" s="88">
        <v>0</v>
      </c>
      <c r="R162" s="88">
        <v>0</v>
      </c>
      <c r="S162" s="88">
        <v>0</v>
      </c>
      <c r="T162" s="88">
        <v>0</v>
      </c>
      <c r="U162" s="88">
        <v>0</v>
      </c>
      <c r="V162" s="88">
        <v>0</v>
      </c>
      <c r="W162" s="149">
        <f t="shared" si="88"/>
        <v>676115692.29999995</v>
      </c>
      <c r="X162" s="151"/>
    </row>
    <row r="163" spans="1:24" ht="29.25" customHeight="1" x14ac:dyDescent="0.2">
      <c r="A163" s="160">
        <v>740</v>
      </c>
      <c r="B163" s="9" t="s">
        <v>262</v>
      </c>
      <c r="C163" s="8" t="s">
        <v>107</v>
      </c>
      <c r="D163" s="86">
        <v>945491540.29999995</v>
      </c>
      <c r="E163" s="88">
        <v>0</v>
      </c>
      <c r="F163" s="88">
        <v>0</v>
      </c>
      <c r="G163" s="88">
        <v>0</v>
      </c>
      <c r="H163" s="88">
        <v>0</v>
      </c>
      <c r="I163" s="147">
        <f t="shared" si="87"/>
        <v>945491540.29999995</v>
      </c>
      <c r="J163" s="88">
        <v>0</v>
      </c>
      <c r="K163" s="88">
        <v>0</v>
      </c>
      <c r="L163" s="88">
        <v>0</v>
      </c>
      <c r="M163" s="88">
        <v>0</v>
      </c>
      <c r="N163" s="88">
        <v>0</v>
      </c>
      <c r="O163" s="88">
        <v>0</v>
      </c>
      <c r="P163" s="88">
        <v>0</v>
      </c>
      <c r="Q163" s="88">
        <v>0</v>
      </c>
      <c r="R163" s="88">
        <v>0</v>
      </c>
      <c r="S163" s="88">
        <v>0</v>
      </c>
      <c r="T163" s="88">
        <v>0</v>
      </c>
      <c r="U163" s="88">
        <v>0</v>
      </c>
      <c r="V163" s="88">
        <v>0</v>
      </c>
      <c r="W163" s="149">
        <f t="shared" si="88"/>
        <v>945491540.29999995</v>
      </c>
      <c r="X163" s="151"/>
    </row>
    <row r="164" spans="1:24" ht="29.25" customHeight="1" x14ac:dyDescent="0.2">
      <c r="A164" s="160">
        <v>741</v>
      </c>
      <c r="B164" s="9" t="s">
        <v>263</v>
      </c>
      <c r="C164" s="8" t="s">
        <v>233</v>
      </c>
      <c r="D164" s="86">
        <v>54989270.539999999</v>
      </c>
      <c r="E164" s="88">
        <v>0</v>
      </c>
      <c r="F164" s="88">
        <v>0</v>
      </c>
      <c r="G164" s="88">
        <v>0</v>
      </c>
      <c r="H164" s="88">
        <v>0</v>
      </c>
      <c r="I164" s="147">
        <f t="shared" si="87"/>
        <v>54989270.539999999</v>
      </c>
      <c r="J164" s="88">
        <v>0</v>
      </c>
      <c r="K164" s="88">
        <v>0</v>
      </c>
      <c r="L164" s="88">
        <v>0</v>
      </c>
      <c r="M164" s="88">
        <v>0</v>
      </c>
      <c r="N164" s="88">
        <v>0</v>
      </c>
      <c r="O164" s="88">
        <v>0</v>
      </c>
      <c r="P164" s="88">
        <v>0</v>
      </c>
      <c r="Q164" s="88">
        <v>0</v>
      </c>
      <c r="R164" s="88">
        <v>0</v>
      </c>
      <c r="S164" s="88">
        <v>0</v>
      </c>
      <c r="T164" s="88">
        <v>0</v>
      </c>
      <c r="U164" s="88">
        <v>0</v>
      </c>
      <c r="V164" s="88">
        <v>0</v>
      </c>
      <c r="W164" s="149">
        <f t="shared" si="88"/>
        <v>54989270.539999999</v>
      </c>
      <c r="X164" s="151"/>
    </row>
    <row r="165" spans="1:24" ht="29.25" customHeight="1" x14ac:dyDescent="0.2">
      <c r="A165" s="161">
        <v>742</v>
      </c>
      <c r="B165" s="9" t="s">
        <v>264</v>
      </c>
      <c r="C165" s="8" t="s">
        <v>233</v>
      </c>
      <c r="D165" s="86">
        <v>82783036.859999999</v>
      </c>
      <c r="E165" s="88">
        <v>0</v>
      </c>
      <c r="F165" s="88">
        <v>0</v>
      </c>
      <c r="G165" s="88">
        <v>0</v>
      </c>
      <c r="H165" s="88">
        <v>0</v>
      </c>
      <c r="I165" s="147">
        <f t="shared" si="87"/>
        <v>82783036.859999999</v>
      </c>
      <c r="J165" s="88">
        <v>0</v>
      </c>
      <c r="K165" s="88">
        <v>0</v>
      </c>
      <c r="L165" s="88">
        <v>0</v>
      </c>
      <c r="M165" s="88">
        <v>0</v>
      </c>
      <c r="N165" s="88">
        <v>0</v>
      </c>
      <c r="O165" s="88">
        <v>0</v>
      </c>
      <c r="P165" s="88">
        <v>0</v>
      </c>
      <c r="Q165" s="88">
        <v>0</v>
      </c>
      <c r="R165" s="88">
        <v>0</v>
      </c>
      <c r="S165" s="88">
        <v>0</v>
      </c>
      <c r="T165" s="88">
        <v>0</v>
      </c>
      <c r="U165" s="88">
        <v>0</v>
      </c>
      <c r="V165" s="88">
        <v>0</v>
      </c>
      <c r="W165" s="149">
        <f t="shared" si="88"/>
        <v>82783036.859999999</v>
      </c>
      <c r="X165" s="151"/>
    </row>
    <row r="166" spans="1:24" ht="29.25" customHeight="1" x14ac:dyDescent="0.2">
      <c r="A166" s="162">
        <v>764</v>
      </c>
      <c r="B166" s="9" t="s">
        <v>265</v>
      </c>
      <c r="C166" s="8" t="s">
        <v>102</v>
      </c>
      <c r="D166" s="86">
        <v>16636487.73</v>
      </c>
      <c r="E166" s="88">
        <v>0</v>
      </c>
      <c r="F166" s="88">
        <v>0</v>
      </c>
      <c r="G166" s="88">
        <v>0</v>
      </c>
      <c r="H166" s="88">
        <v>0</v>
      </c>
      <c r="I166" s="147">
        <f t="shared" si="87"/>
        <v>16636487.73</v>
      </c>
      <c r="J166" s="88">
        <v>0</v>
      </c>
      <c r="K166" s="88">
        <v>0</v>
      </c>
      <c r="L166" s="88">
        <v>0</v>
      </c>
      <c r="M166" s="88">
        <v>0</v>
      </c>
      <c r="N166" s="88">
        <v>0</v>
      </c>
      <c r="O166" s="88">
        <v>0</v>
      </c>
      <c r="P166" s="88">
        <v>0</v>
      </c>
      <c r="Q166" s="88">
        <v>0</v>
      </c>
      <c r="R166" s="88">
        <v>0</v>
      </c>
      <c r="S166" s="88">
        <v>0</v>
      </c>
      <c r="T166" s="88">
        <v>0</v>
      </c>
      <c r="U166" s="88">
        <v>0</v>
      </c>
      <c r="V166" s="88">
        <v>0</v>
      </c>
      <c r="W166" s="149">
        <f t="shared" si="88"/>
        <v>16636487.73</v>
      </c>
      <c r="X166" s="151"/>
    </row>
    <row r="167" spans="1:24" ht="29.25" customHeight="1" x14ac:dyDescent="0.2">
      <c r="A167" s="162">
        <v>768</v>
      </c>
      <c r="B167" s="9" t="s">
        <v>266</v>
      </c>
      <c r="C167" s="8" t="s">
        <v>107</v>
      </c>
      <c r="D167" s="86">
        <v>8834182.4900000002</v>
      </c>
      <c r="E167" s="88">
        <v>0</v>
      </c>
      <c r="F167" s="88">
        <v>0</v>
      </c>
      <c r="G167" s="88">
        <v>0</v>
      </c>
      <c r="H167" s="88">
        <v>0</v>
      </c>
      <c r="I167" s="147">
        <f t="shared" si="87"/>
        <v>8834182.4900000002</v>
      </c>
      <c r="J167" s="88"/>
      <c r="K167" s="88"/>
      <c r="L167" s="88"/>
      <c r="M167" s="88"/>
      <c r="N167" s="88"/>
      <c r="O167" s="88"/>
      <c r="P167" s="88"/>
      <c r="Q167" s="88"/>
      <c r="R167" s="88"/>
      <c r="S167" s="88"/>
      <c r="T167" s="88"/>
      <c r="U167" s="88"/>
      <c r="V167" s="88"/>
      <c r="W167" s="149">
        <f t="shared" si="88"/>
        <v>8834182.4900000002</v>
      </c>
      <c r="X167" s="151"/>
    </row>
    <row r="168" spans="1:24" ht="29.25" customHeight="1" x14ac:dyDescent="0.2">
      <c r="A168" s="162">
        <v>769</v>
      </c>
      <c r="B168" s="9" t="s">
        <v>267</v>
      </c>
      <c r="C168" s="8" t="s">
        <v>107</v>
      </c>
      <c r="D168" s="86">
        <v>2065809.37</v>
      </c>
      <c r="E168" s="88">
        <v>0</v>
      </c>
      <c r="F168" s="88">
        <v>0</v>
      </c>
      <c r="G168" s="88">
        <v>0</v>
      </c>
      <c r="H168" s="88">
        <v>0</v>
      </c>
      <c r="I168" s="147">
        <f t="shared" si="87"/>
        <v>2065809.37</v>
      </c>
      <c r="J168" s="88">
        <v>0</v>
      </c>
      <c r="K168" s="88">
        <v>0</v>
      </c>
      <c r="L168" s="88">
        <v>0</v>
      </c>
      <c r="M168" s="88">
        <v>0</v>
      </c>
      <c r="N168" s="88">
        <v>0</v>
      </c>
      <c r="O168" s="88">
        <v>0</v>
      </c>
      <c r="P168" s="88">
        <v>0</v>
      </c>
      <c r="Q168" s="88">
        <v>0</v>
      </c>
      <c r="R168" s="88">
        <v>0</v>
      </c>
      <c r="S168" s="88">
        <v>0</v>
      </c>
      <c r="T168" s="88">
        <v>0</v>
      </c>
      <c r="U168" s="88">
        <v>0</v>
      </c>
      <c r="V168" s="88">
        <v>0</v>
      </c>
      <c r="W168" s="149">
        <f t="shared" si="88"/>
        <v>2065809.37</v>
      </c>
      <c r="X168" s="151"/>
    </row>
    <row r="169" spans="1:24" ht="29.25" customHeight="1" x14ac:dyDescent="0.2">
      <c r="A169" s="162">
        <v>770</v>
      </c>
      <c r="B169" s="9" t="s">
        <v>268</v>
      </c>
      <c r="C169" s="8" t="s">
        <v>107</v>
      </c>
      <c r="D169" s="86">
        <v>126240281.59999999</v>
      </c>
      <c r="E169" s="88">
        <v>0</v>
      </c>
      <c r="F169" s="88">
        <v>0</v>
      </c>
      <c r="G169" s="88">
        <v>0</v>
      </c>
      <c r="H169" s="88">
        <v>0</v>
      </c>
      <c r="I169" s="147">
        <f t="shared" si="87"/>
        <v>126240281.59999999</v>
      </c>
      <c r="J169" s="88">
        <v>0</v>
      </c>
      <c r="K169" s="88">
        <v>0</v>
      </c>
      <c r="L169" s="88">
        <v>0</v>
      </c>
      <c r="M169" s="88">
        <v>0</v>
      </c>
      <c r="N169" s="88">
        <v>0</v>
      </c>
      <c r="O169" s="88">
        <v>0</v>
      </c>
      <c r="P169" s="88">
        <v>0</v>
      </c>
      <c r="Q169" s="88">
        <v>0</v>
      </c>
      <c r="R169" s="88">
        <v>0</v>
      </c>
      <c r="S169" s="88">
        <v>0</v>
      </c>
      <c r="T169" s="88">
        <v>0</v>
      </c>
      <c r="U169" s="88">
        <v>0</v>
      </c>
      <c r="V169" s="88">
        <v>0</v>
      </c>
      <c r="W169" s="149">
        <f t="shared" si="88"/>
        <v>126240281.59999999</v>
      </c>
      <c r="X169" s="151"/>
    </row>
    <row r="170" spans="1:24" ht="29.25" customHeight="1" x14ac:dyDescent="0.2">
      <c r="A170" s="162">
        <v>771</v>
      </c>
      <c r="B170" s="9" t="s">
        <v>269</v>
      </c>
      <c r="C170" s="8" t="s">
        <v>102</v>
      </c>
      <c r="D170" s="86">
        <v>18673374.789999999</v>
      </c>
      <c r="E170" s="88">
        <v>0</v>
      </c>
      <c r="F170" s="88">
        <v>0</v>
      </c>
      <c r="G170" s="88">
        <v>0</v>
      </c>
      <c r="H170" s="88">
        <v>0</v>
      </c>
      <c r="I170" s="147">
        <f t="shared" si="87"/>
        <v>18673374.789999999</v>
      </c>
      <c r="J170" s="88">
        <v>0</v>
      </c>
      <c r="K170" s="88">
        <v>0</v>
      </c>
      <c r="L170" s="88">
        <v>0</v>
      </c>
      <c r="M170" s="88">
        <v>0</v>
      </c>
      <c r="N170" s="88">
        <v>0</v>
      </c>
      <c r="O170" s="88">
        <v>0</v>
      </c>
      <c r="P170" s="88">
        <v>0</v>
      </c>
      <c r="Q170" s="88">
        <v>0</v>
      </c>
      <c r="R170" s="88">
        <v>0</v>
      </c>
      <c r="S170" s="88">
        <v>0</v>
      </c>
      <c r="T170" s="88">
        <v>0</v>
      </c>
      <c r="U170" s="88">
        <v>0</v>
      </c>
      <c r="V170" s="88">
        <v>0</v>
      </c>
      <c r="W170" s="149">
        <f t="shared" si="88"/>
        <v>18673374.789999999</v>
      </c>
      <c r="X170" s="151"/>
    </row>
    <row r="171" spans="1:24" ht="29.25" customHeight="1" x14ac:dyDescent="0.2">
      <c r="A171" s="162">
        <v>772</v>
      </c>
      <c r="B171" s="9" t="s">
        <v>270</v>
      </c>
      <c r="C171" s="8" t="s">
        <v>107</v>
      </c>
      <c r="D171" s="86">
        <v>94290843.200000003</v>
      </c>
      <c r="E171" s="88">
        <v>0</v>
      </c>
      <c r="F171" s="88">
        <v>0</v>
      </c>
      <c r="G171" s="88">
        <v>0</v>
      </c>
      <c r="H171" s="88">
        <v>0</v>
      </c>
      <c r="I171" s="147">
        <f t="shared" si="87"/>
        <v>94290843.200000003</v>
      </c>
      <c r="J171" s="88">
        <v>0</v>
      </c>
      <c r="K171" s="88">
        <v>0</v>
      </c>
      <c r="L171" s="88">
        <v>0</v>
      </c>
      <c r="M171" s="88">
        <v>0</v>
      </c>
      <c r="N171" s="88">
        <v>0</v>
      </c>
      <c r="O171" s="88">
        <v>0</v>
      </c>
      <c r="P171" s="88">
        <v>0</v>
      </c>
      <c r="Q171" s="88">
        <v>0</v>
      </c>
      <c r="R171" s="88">
        <v>0</v>
      </c>
      <c r="S171" s="88">
        <v>0</v>
      </c>
      <c r="T171" s="88">
        <v>0</v>
      </c>
      <c r="U171" s="88">
        <v>0</v>
      </c>
      <c r="V171" s="88">
        <v>0</v>
      </c>
      <c r="W171" s="149">
        <f t="shared" si="88"/>
        <v>94290843.200000003</v>
      </c>
      <c r="X171" s="151"/>
    </row>
    <row r="172" spans="1:24" ht="29.25" customHeight="1" x14ac:dyDescent="0.2">
      <c r="A172" s="162">
        <v>773</v>
      </c>
      <c r="B172" s="9" t="s">
        <v>271</v>
      </c>
      <c r="C172" s="8" t="s">
        <v>102</v>
      </c>
      <c r="D172" s="86">
        <v>31535586.100000001</v>
      </c>
      <c r="E172" s="88">
        <v>0</v>
      </c>
      <c r="F172" s="88">
        <v>0</v>
      </c>
      <c r="G172" s="88">
        <v>0</v>
      </c>
      <c r="H172" s="88">
        <v>0</v>
      </c>
      <c r="I172" s="147">
        <f t="shared" si="87"/>
        <v>31535586.100000001</v>
      </c>
      <c r="J172" s="88">
        <v>0</v>
      </c>
      <c r="K172" s="88">
        <v>0</v>
      </c>
      <c r="L172" s="88">
        <v>0</v>
      </c>
      <c r="M172" s="88">
        <v>0</v>
      </c>
      <c r="N172" s="88">
        <v>0</v>
      </c>
      <c r="O172" s="88">
        <v>0</v>
      </c>
      <c r="P172" s="88">
        <v>0</v>
      </c>
      <c r="Q172" s="88">
        <v>0</v>
      </c>
      <c r="R172" s="88">
        <v>0</v>
      </c>
      <c r="S172" s="88">
        <v>0</v>
      </c>
      <c r="T172" s="88">
        <v>0</v>
      </c>
      <c r="U172" s="88">
        <v>0</v>
      </c>
      <c r="V172" s="88">
        <v>0</v>
      </c>
      <c r="W172" s="149">
        <f t="shared" si="88"/>
        <v>31535586.100000001</v>
      </c>
      <c r="X172" s="151"/>
    </row>
    <row r="173" spans="1:24" ht="29.25" customHeight="1" x14ac:dyDescent="0.2">
      <c r="A173" s="162">
        <v>774</v>
      </c>
      <c r="B173" s="9" t="s">
        <v>272</v>
      </c>
      <c r="C173" s="8" t="s">
        <v>102</v>
      </c>
      <c r="D173" s="86">
        <v>31874676.870000001</v>
      </c>
      <c r="E173" s="88">
        <v>0</v>
      </c>
      <c r="F173" s="88">
        <v>0</v>
      </c>
      <c r="G173" s="88">
        <v>0</v>
      </c>
      <c r="H173" s="88">
        <v>0</v>
      </c>
      <c r="I173" s="147">
        <f t="shared" si="87"/>
        <v>31874676.870000001</v>
      </c>
      <c r="J173" s="88">
        <v>0</v>
      </c>
      <c r="K173" s="88">
        <v>0</v>
      </c>
      <c r="L173" s="88">
        <v>0</v>
      </c>
      <c r="M173" s="88">
        <v>0</v>
      </c>
      <c r="N173" s="88">
        <v>0</v>
      </c>
      <c r="O173" s="88">
        <v>0</v>
      </c>
      <c r="P173" s="88">
        <v>0</v>
      </c>
      <c r="Q173" s="88">
        <v>0</v>
      </c>
      <c r="R173" s="88">
        <v>0</v>
      </c>
      <c r="S173" s="88">
        <v>0</v>
      </c>
      <c r="T173" s="88">
        <v>0</v>
      </c>
      <c r="U173" s="88">
        <v>0</v>
      </c>
      <c r="V173" s="88">
        <v>0</v>
      </c>
      <c r="W173" s="149">
        <f t="shared" si="88"/>
        <v>31874676.870000001</v>
      </c>
      <c r="X173" s="151"/>
    </row>
    <row r="174" spans="1:24" ht="29.25" customHeight="1" x14ac:dyDescent="0.2">
      <c r="A174" s="162">
        <v>783</v>
      </c>
      <c r="B174" s="9" t="s">
        <v>273</v>
      </c>
      <c r="C174" s="8" t="s">
        <v>107</v>
      </c>
      <c r="D174" s="86">
        <v>75021845.370000005</v>
      </c>
      <c r="E174" s="88">
        <v>0</v>
      </c>
      <c r="F174" s="88">
        <v>0</v>
      </c>
      <c r="G174" s="88">
        <v>0</v>
      </c>
      <c r="H174" s="88">
        <v>0</v>
      </c>
      <c r="I174" s="147">
        <f t="shared" si="87"/>
        <v>75021845.370000005</v>
      </c>
      <c r="J174" s="88">
        <v>0</v>
      </c>
      <c r="K174" s="88">
        <v>0</v>
      </c>
      <c r="L174" s="88">
        <v>0</v>
      </c>
      <c r="M174" s="88">
        <v>0</v>
      </c>
      <c r="N174" s="88">
        <v>0</v>
      </c>
      <c r="O174" s="88">
        <v>0</v>
      </c>
      <c r="P174" s="88">
        <v>0</v>
      </c>
      <c r="Q174" s="88">
        <v>0</v>
      </c>
      <c r="R174" s="88">
        <v>0</v>
      </c>
      <c r="S174" s="88">
        <v>0</v>
      </c>
      <c r="T174" s="88">
        <v>0</v>
      </c>
      <c r="U174" s="88">
        <v>0</v>
      </c>
      <c r="V174" s="88">
        <v>0</v>
      </c>
      <c r="W174" s="149">
        <f t="shared" si="88"/>
        <v>75021845.370000005</v>
      </c>
      <c r="X174" s="151"/>
    </row>
    <row r="175" spans="1:24" ht="29.25" customHeight="1" x14ac:dyDescent="0.2">
      <c r="A175" s="162">
        <v>796</v>
      </c>
      <c r="B175" s="9" t="s">
        <v>274</v>
      </c>
      <c r="C175" s="8" t="s">
        <v>107</v>
      </c>
      <c r="D175" s="86">
        <v>220458.25</v>
      </c>
      <c r="E175" s="88">
        <v>0</v>
      </c>
      <c r="F175" s="88">
        <v>0</v>
      </c>
      <c r="G175" s="88">
        <v>0</v>
      </c>
      <c r="H175" s="88">
        <v>0</v>
      </c>
      <c r="I175" s="147">
        <f t="shared" si="87"/>
        <v>220458.25</v>
      </c>
      <c r="J175" s="88">
        <v>0</v>
      </c>
      <c r="K175" s="88">
        <v>0</v>
      </c>
      <c r="L175" s="88">
        <v>0</v>
      </c>
      <c r="M175" s="88">
        <v>0</v>
      </c>
      <c r="N175" s="88">
        <v>0</v>
      </c>
      <c r="O175" s="88">
        <v>0</v>
      </c>
      <c r="P175" s="88">
        <v>0</v>
      </c>
      <c r="Q175" s="88">
        <v>0</v>
      </c>
      <c r="R175" s="88">
        <v>0</v>
      </c>
      <c r="S175" s="88">
        <v>0</v>
      </c>
      <c r="T175" s="88">
        <v>0</v>
      </c>
      <c r="U175" s="88">
        <v>0</v>
      </c>
      <c r="V175" s="88">
        <v>0</v>
      </c>
      <c r="W175" s="149">
        <f t="shared" si="88"/>
        <v>220458.25</v>
      </c>
      <c r="X175" s="151"/>
    </row>
    <row r="176" spans="1:24" ht="29.25" customHeight="1" x14ac:dyDescent="0.2">
      <c r="A176" s="162">
        <v>798</v>
      </c>
      <c r="B176" s="9" t="s">
        <v>275</v>
      </c>
      <c r="C176" s="8" t="s">
        <v>107</v>
      </c>
      <c r="D176" s="86">
        <v>24312859.5</v>
      </c>
      <c r="E176" s="88">
        <v>0</v>
      </c>
      <c r="F176" s="88">
        <v>0</v>
      </c>
      <c r="G176" s="88">
        <v>0</v>
      </c>
      <c r="H176" s="88">
        <v>0</v>
      </c>
      <c r="I176" s="147">
        <f t="shared" si="87"/>
        <v>24312859.5</v>
      </c>
      <c r="J176" s="88">
        <v>0</v>
      </c>
      <c r="K176" s="88">
        <v>0</v>
      </c>
      <c r="L176" s="88">
        <v>0</v>
      </c>
      <c r="M176" s="88">
        <v>0</v>
      </c>
      <c r="N176" s="88">
        <v>0</v>
      </c>
      <c r="O176" s="88">
        <v>0</v>
      </c>
      <c r="P176" s="88">
        <v>0</v>
      </c>
      <c r="Q176" s="88">
        <v>0</v>
      </c>
      <c r="R176" s="88">
        <v>0</v>
      </c>
      <c r="S176" s="88">
        <v>0</v>
      </c>
      <c r="T176" s="88">
        <v>0</v>
      </c>
      <c r="U176" s="88">
        <v>0</v>
      </c>
      <c r="V176" s="88">
        <v>0</v>
      </c>
      <c r="W176" s="149">
        <f t="shared" si="88"/>
        <v>24312859.5</v>
      </c>
      <c r="X176" s="151"/>
    </row>
    <row r="177" spans="1:24" ht="29.25" customHeight="1" x14ac:dyDescent="0.2">
      <c r="A177" s="160">
        <v>807</v>
      </c>
      <c r="B177" s="9" t="s">
        <v>276</v>
      </c>
      <c r="C177" s="8" t="s">
        <v>107</v>
      </c>
      <c r="D177" s="86">
        <v>2658412.25</v>
      </c>
      <c r="E177" s="88">
        <v>0</v>
      </c>
      <c r="F177" s="88">
        <v>0</v>
      </c>
      <c r="G177" s="88">
        <v>0</v>
      </c>
      <c r="H177" s="88">
        <v>0</v>
      </c>
      <c r="I177" s="147">
        <f t="shared" si="87"/>
        <v>2658412.25</v>
      </c>
      <c r="J177" s="88">
        <v>0</v>
      </c>
      <c r="K177" s="88">
        <v>0</v>
      </c>
      <c r="L177" s="88">
        <v>0</v>
      </c>
      <c r="M177" s="88">
        <v>0</v>
      </c>
      <c r="N177" s="88">
        <v>0</v>
      </c>
      <c r="O177" s="88">
        <v>0</v>
      </c>
      <c r="P177" s="88">
        <v>0</v>
      </c>
      <c r="Q177" s="88">
        <v>0</v>
      </c>
      <c r="R177" s="88">
        <v>0</v>
      </c>
      <c r="S177" s="88">
        <v>0</v>
      </c>
      <c r="T177" s="88">
        <v>0</v>
      </c>
      <c r="U177" s="88">
        <v>0</v>
      </c>
      <c r="V177" s="88">
        <v>0</v>
      </c>
      <c r="W177" s="149">
        <f t="shared" si="88"/>
        <v>2658412.25</v>
      </c>
      <c r="X177" s="151"/>
    </row>
    <row r="178" spans="1:24" ht="29.25" customHeight="1" x14ac:dyDescent="0.2">
      <c r="A178" s="160">
        <v>825</v>
      </c>
      <c r="B178" s="9" t="s">
        <v>145</v>
      </c>
      <c r="C178" s="8" t="s">
        <v>102</v>
      </c>
      <c r="D178" s="86">
        <v>23790000</v>
      </c>
      <c r="E178" s="88">
        <v>0</v>
      </c>
      <c r="F178" s="88">
        <v>0</v>
      </c>
      <c r="G178" s="88">
        <v>0</v>
      </c>
      <c r="H178" s="88">
        <v>0</v>
      </c>
      <c r="I178" s="147">
        <f t="shared" si="87"/>
        <v>23790000</v>
      </c>
      <c r="J178" s="147"/>
      <c r="K178" s="147"/>
      <c r="L178" s="147"/>
      <c r="M178" s="147"/>
      <c r="N178" s="147"/>
      <c r="O178" s="147"/>
      <c r="P178" s="147"/>
      <c r="Q178" s="147"/>
      <c r="R178" s="147"/>
      <c r="S178" s="147"/>
      <c r="T178" s="147"/>
      <c r="U178" s="147"/>
      <c r="V178" s="147"/>
      <c r="W178" s="149">
        <f t="shared" si="88"/>
        <v>23790000</v>
      </c>
      <c r="X178" s="151"/>
    </row>
    <row r="179" spans="1:24" ht="29.25" customHeight="1" x14ac:dyDescent="0.2">
      <c r="A179" s="160">
        <v>922</v>
      </c>
      <c r="B179" s="9" t="s">
        <v>140</v>
      </c>
      <c r="C179" s="8" t="s">
        <v>233</v>
      </c>
      <c r="D179" s="86">
        <v>4849661</v>
      </c>
      <c r="E179" s="88">
        <v>0</v>
      </c>
      <c r="F179" s="88">
        <v>0</v>
      </c>
      <c r="G179" s="88">
        <v>0</v>
      </c>
      <c r="H179" s="88">
        <v>0</v>
      </c>
      <c r="I179" s="147">
        <f t="shared" si="87"/>
        <v>4849661</v>
      </c>
      <c r="J179" s="147"/>
      <c r="K179" s="147"/>
      <c r="L179" s="147"/>
      <c r="M179" s="147"/>
      <c r="N179" s="147"/>
      <c r="O179" s="147"/>
      <c r="P179" s="147"/>
      <c r="Q179" s="147"/>
      <c r="R179" s="147"/>
      <c r="S179" s="147"/>
      <c r="T179" s="147"/>
      <c r="U179" s="147"/>
      <c r="V179" s="147"/>
      <c r="W179" s="149">
        <f t="shared" si="88"/>
        <v>4849661</v>
      </c>
      <c r="X179" s="151"/>
    </row>
    <row r="180" spans="1:24" ht="29.25" customHeight="1" x14ac:dyDescent="0.2">
      <c r="A180" s="160">
        <v>1046</v>
      </c>
      <c r="B180" s="9" t="s">
        <v>147</v>
      </c>
      <c r="C180" s="8" t="s">
        <v>249</v>
      </c>
      <c r="D180" s="86">
        <v>41088455.5</v>
      </c>
      <c r="E180" s="88">
        <v>0</v>
      </c>
      <c r="F180" s="88">
        <v>0</v>
      </c>
      <c r="G180" s="88">
        <v>0</v>
      </c>
      <c r="H180" s="88">
        <v>0</v>
      </c>
      <c r="I180" s="147">
        <f t="shared" si="87"/>
        <v>41088455.5</v>
      </c>
      <c r="J180" s="88">
        <v>0</v>
      </c>
      <c r="K180" s="88">
        <v>0</v>
      </c>
      <c r="L180" s="88">
        <v>0</v>
      </c>
      <c r="M180" s="88">
        <v>0</v>
      </c>
      <c r="N180" s="88">
        <v>0</v>
      </c>
      <c r="O180" s="88">
        <v>0</v>
      </c>
      <c r="P180" s="88">
        <v>0</v>
      </c>
      <c r="Q180" s="88">
        <v>0</v>
      </c>
      <c r="R180" s="88">
        <v>0</v>
      </c>
      <c r="S180" s="88">
        <v>0</v>
      </c>
      <c r="T180" s="88">
        <v>0</v>
      </c>
      <c r="U180" s="88">
        <v>0</v>
      </c>
      <c r="V180" s="88">
        <v>0</v>
      </c>
      <c r="W180" s="149">
        <f t="shared" si="88"/>
        <v>41088455.5</v>
      </c>
      <c r="X180" s="151"/>
    </row>
    <row r="181" spans="1:24" ht="29.25" customHeight="1" x14ac:dyDescent="0.2">
      <c r="A181" s="160">
        <v>1047</v>
      </c>
      <c r="B181" s="9" t="s">
        <v>147</v>
      </c>
      <c r="C181" s="8" t="s">
        <v>249</v>
      </c>
      <c r="D181" s="86">
        <v>2994699.9</v>
      </c>
      <c r="E181" s="88">
        <v>0</v>
      </c>
      <c r="F181" s="88">
        <v>0</v>
      </c>
      <c r="G181" s="88">
        <v>0</v>
      </c>
      <c r="H181" s="88">
        <v>0</v>
      </c>
      <c r="I181" s="147">
        <f t="shared" si="87"/>
        <v>2994699.9</v>
      </c>
      <c r="J181" s="88">
        <v>0</v>
      </c>
      <c r="K181" s="88">
        <v>0</v>
      </c>
      <c r="L181" s="88">
        <v>0</v>
      </c>
      <c r="M181" s="88">
        <v>0</v>
      </c>
      <c r="N181" s="88">
        <v>0</v>
      </c>
      <c r="O181" s="88">
        <v>0</v>
      </c>
      <c r="P181" s="88">
        <v>0</v>
      </c>
      <c r="Q181" s="88">
        <v>0</v>
      </c>
      <c r="R181" s="88">
        <v>0</v>
      </c>
      <c r="S181" s="88">
        <v>0</v>
      </c>
      <c r="T181" s="88">
        <v>0</v>
      </c>
      <c r="U181" s="88">
        <v>0</v>
      </c>
      <c r="V181" s="88">
        <v>0</v>
      </c>
      <c r="W181" s="149">
        <f t="shared" si="88"/>
        <v>2994699.9</v>
      </c>
      <c r="X181" s="151"/>
    </row>
    <row r="182" spans="1:24" ht="29.25" customHeight="1" x14ac:dyDescent="0.2">
      <c r="A182" s="160">
        <v>1048</v>
      </c>
      <c r="B182" s="9" t="s">
        <v>147</v>
      </c>
      <c r="C182" s="8" t="s">
        <v>249</v>
      </c>
      <c r="D182" s="86">
        <v>3956571.3</v>
      </c>
      <c r="E182" s="88">
        <v>0</v>
      </c>
      <c r="F182" s="88">
        <v>0</v>
      </c>
      <c r="G182" s="88">
        <v>0</v>
      </c>
      <c r="H182" s="88">
        <v>0</v>
      </c>
      <c r="I182" s="147">
        <f t="shared" si="87"/>
        <v>3956571.3</v>
      </c>
      <c r="J182" s="88">
        <v>0</v>
      </c>
      <c r="K182" s="88">
        <v>0</v>
      </c>
      <c r="L182" s="88">
        <v>0</v>
      </c>
      <c r="M182" s="88">
        <v>0</v>
      </c>
      <c r="N182" s="88">
        <v>0</v>
      </c>
      <c r="O182" s="88">
        <v>0</v>
      </c>
      <c r="P182" s="88">
        <v>0</v>
      </c>
      <c r="Q182" s="88">
        <v>0</v>
      </c>
      <c r="R182" s="88">
        <v>0</v>
      </c>
      <c r="S182" s="88">
        <v>0</v>
      </c>
      <c r="T182" s="88">
        <v>0</v>
      </c>
      <c r="U182" s="88">
        <v>0</v>
      </c>
      <c r="V182" s="88">
        <v>0</v>
      </c>
      <c r="W182" s="149">
        <f t="shared" si="88"/>
        <v>3956571.3</v>
      </c>
      <c r="X182" s="151"/>
    </row>
    <row r="183" spans="1:24" x14ac:dyDescent="0.2">
      <c r="A183" s="160">
        <v>1049</v>
      </c>
      <c r="B183" s="9" t="s">
        <v>147</v>
      </c>
      <c r="C183" s="8" t="s">
        <v>249</v>
      </c>
      <c r="D183" s="86">
        <v>2970732.2</v>
      </c>
      <c r="E183" s="88">
        <v>0</v>
      </c>
      <c r="F183" s="88">
        <v>0</v>
      </c>
      <c r="G183" s="88">
        <v>0</v>
      </c>
      <c r="H183" s="88">
        <v>0</v>
      </c>
      <c r="I183" s="147">
        <f t="shared" si="87"/>
        <v>2970732.2</v>
      </c>
      <c r="J183" s="88">
        <v>0</v>
      </c>
      <c r="K183" s="88">
        <v>0</v>
      </c>
      <c r="L183" s="88">
        <v>0</v>
      </c>
      <c r="M183" s="88">
        <v>0</v>
      </c>
      <c r="N183" s="88">
        <v>0</v>
      </c>
      <c r="O183" s="88">
        <v>0</v>
      </c>
      <c r="P183" s="88">
        <v>0</v>
      </c>
      <c r="Q183" s="88">
        <v>0</v>
      </c>
      <c r="R183" s="88">
        <v>0</v>
      </c>
      <c r="S183" s="88">
        <v>0</v>
      </c>
      <c r="T183" s="88">
        <v>0</v>
      </c>
      <c r="U183" s="88">
        <v>0</v>
      </c>
      <c r="V183" s="88">
        <v>0</v>
      </c>
      <c r="W183" s="149">
        <f t="shared" si="88"/>
        <v>2970732.2</v>
      </c>
    </row>
    <row r="184" spans="1:24" x14ac:dyDescent="0.2">
      <c r="A184" s="160">
        <v>1050</v>
      </c>
      <c r="B184" s="9" t="s">
        <v>147</v>
      </c>
      <c r="C184" s="8" t="s">
        <v>249</v>
      </c>
      <c r="D184" s="86">
        <v>3965988.3</v>
      </c>
      <c r="E184" s="88">
        <v>0</v>
      </c>
      <c r="F184" s="88">
        <v>0</v>
      </c>
      <c r="G184" s="88">
        <v>0</v>
      </c>
      <c r="H184" s="88">
        <v>0</v>
      </c>
      <c r="I184" s="147">
        <f t="shared" si="87"/>
        <v>3965988.3</v>
      </c>
      <c r="J184" s="88">
        <v>0</v>
      </c>
      <c r="K184" s="88">
        <v>0</v>
      </c>
      <c r="L184" s="88">
        <v>0</v>
      </c>
      <c r="M184" s="88">
        <v>0</v>
      </c>
      <c r="N184" s="88">
        <v>0</v>
      </c>
      <c r="O184" s="88">
        <v>0</v>
      </c>
      <c r="P184" s="88">
        <v>0</v>
      </c>
      <c r="Q184" s="88">
        <v>0</v>
      </c>
      <c r="R184" s="88">
        <v>0</v>
      </c>
      <c r="S184" s="88">
        <v>0</v>
      </c>
      <c r="T184" s="88">
        <v>0</v>
      </c>
      <c r="U184" s="88">
        <v>0</v>
      </c>
      <c r="V184" s="88">
        <v>0</v>
      </c>
      <c r="W184" s="149">
        <f t="shared" si="88"/>
        <v>3965988.3</v>
      </c>
    </row>
    <row r="185" spans="1:24" x14ac:dyDescent="0.2">
      <c r="A185" s="160">
        <v>1052</v>
      </c>
      <c r="B185" s="9" t="s">
        <v>147</v>
      </c>
      <c r="C185" s="8" t="s">
        <v>249</v>
      </c>
      <c r="D185" s="86">
        <v>2989052.1</v>
      </c>
      <c r="E185" s="88">
        <v>0</v>
      </c>
      <c r="F185" s="88">
        <v>0</v>
      </c>
      <c r="G185" s="88">
        <v>0</v>
      </c>
      <c r="H185" s="88">
        <v>0</v>
      </c>
      <c r="I185" s="147">
        <f t="shared" si="87"/>
        <v>2989052.1</v>
      </c>
      <c r="J185" s="88">
        <v>0</v>
      </c>
      <c r="K185" s="88">
        <v>0</v>
      </c>
      <c r="L185" s="88">
        <v>0</v>
      </c>
      <c r="M185" s="88">
        <v>0</v>
      </c>
      <c r="N185" s="88">
        <v>0</v>
      </c>
      <c r="O185" s="88">
        <v>0</v>
      </c>
      <c r="P185" s="88">
        <v>0</v>
      </c>
      <c r="Q185" s="88">
        <v>0</v>
      </c>
      <c r="R185" s="88">
        <v>0</v>
      </c>
      <c r="S185" s="88">
        <v>0</v>
      </c>
      <c r="T185" s="88">
        <v>0</v>
      </c>
      <c r="U185" s="88">
        <v>0</v>
      </c>
      <c r="V185" s="88">
        <v>0</v>
      </c>
      <c r="W185" s="149">
        <f t="shared" si="88"/>
        <v>2989052.1</v>
      </c>
    </row>
    <row r="186" spans="1:24" x14ac:dyDescent="0.2">
      <c r="A186" s="160">
        <v>1054</v>
      </c>
      <c r="B186" s="9" t="s">
        <v>147</v>
      </c>
      <c r="C186" s="8" t="s">
        <v>249</v>
      </c>
      <c r="D186" s="86">
        <v>2993074.2</v>
      </c>
      <c r="E186" s="88">
        <v>0</v>
      </c>
      <c r="F186" s="88">
        <v>0</v>
      </c>
      <c r="G186" s="88">
        <v>0</v>
      </c>
      <c r="H186" s="88">
        <v>0</v>
      </c>
      <c r="I186" s="147">
        <f t="shared" si="87"/>
        <v>2993074.2</v>
      </c>
      <c r="J186" s="88">
        <v>0</v>
      </c>
      <c r="K186" s="88">
        <v>0</v>
      </c>
      <c r="L186" s="88">
        <v>0</v>
      </c>
      <c r="M186" s="88">
        <v>0</v>
      </c>
      <c r="N186" s="88">
        <v>0</v>
      </c>
      <c r="O186" s="88">
        <v>0</v>
      </c>
      <c r="P186" s="88">
        <v>0</v>
      </c>
      <c r="Q186" s="88">
        <v>0</v>
      </c>
      <c r="R186" s="88">
        <v>0</v>
      </c>
      <c r="S186" s="88">
        <v>0</v>
      </c>
      <c r="T186" s="88">
        <v>0</v>
      </c>
      <c r="U186" s="88">
        <v>0</v>
      </c>
      <c r="V186" s="88">
        <v>0</v>
      </c>
      <c r="W186" s="149">
        <f t="shared" si="88"/>
        <v>2993074.2</v>
      </c>
    </row>
    <row r="187" spans="1:24" x14ac:dyDescent="0.2">
      <c r="A187" s="160">
        <v>1055</v>
      </c>
      <c r="B187" s="9" t="s">
        <v>147</v>
      </c>
      <c r="C187" s="8" t="s">
        <v>249</v>
      </c>
      <c r="D187" s="86">
        <v>2996698.9</v>
      </c>
      <c r="E187" s="88">
        <v>0</v>
      </c>
      <c r="F187" s="88">
        <v>0</v>
      </c>
      <c r="G187" s="88">
        <v>0</v>
      </c>
      <c r="H187" s="88">
        <v>0</v>
      </c>
      <c r="I187" s="147">
        <f t="shared" si="87"/>
        <v>2996698.9</v>
      </c>
      <c r="J187" s="88">
        <v>0</v>
      </c>
      <c r="K187" s="88">
        <v>0</v>
      </c>
      <c r="L187" s="88">
        <v>0</v>
      </c>
      <c r="M187" s="88">
        <v>0</v>
      </c>
      <c r="N187" s="88">
        <v>0</v>
      </c>
      <c r="O187" s="88">
        <v>0</v>
      </c>
      <c r="P187" s="88">
        <v>0</v>
      </c>
      <c r="Q187" s="88">
        <v>0</v>
      </c>
      <c r="R187" s="88">
        <v>0</v>
      </c>
      <c r="S187" s="88">
        <v>0</v>
      </c>
      <c r="T187" s="88">
        <v>0</v>
      </c>
      <c r="U187" s="88">
        <v>0</v>
      </c>
      <c r="V187" s="88">
        <v>0</v>
      </c>
      <c r="W187" s="149">
        <f t="shared" si="88"/>
        <v>2996698.9</v>
      </c>
    </row>
    <row r="188" spans="1:24" x14ac:dyDescent="0.2">
      <c r="A188" s="160">
        <v>1113</v>
      </c>
      <c r="B188" s="9" t="s">
        <v>147</v>
      </c>
      <c r="C188" s="8" t="s">
        <v>249</v>
      </c>
      <c r="D188" s="86">
        <v>2988486.4</v>
      </c>
      <c r="E188" s="88">
        <v>0</v>
      </c>
      <c r="F188" s="88">
        <v>0</v>
      </c>
      <c r="G188" s="88">
        <v>0</v>
      </c>
      <c r="H188" s="88">
        <v>0</v>
      </c>
      <c r="I188" s="147">
        <f t="shared" ref="I188:I224" si="89">D188+E188-F188+G188-H188</f>
        <v>2988486.4</v>
      </c>
      <c r="J188" s="88">
        <v>0</v>
      </c>
      <c r="K188" s="88">
        <v>0</v>
      </c>
      <c r="L188" s="88">
        <v>0</v>
      </c>
      <c r="M188" s="88">
        <v>0</v>
      </c>
      <c r="N188" s="88">
        <v>0</v>
      </c>
      <c r="O188" s="88">
        <v>0</v>
      </c>
      <c r="P188" s="88">
        <v>0</v>
      </c>
      <c r="Q188" s="88">
        <v>0</v>
      </c>
      <c r="R188" s="88">
        <v>0</v>
      </c>
      <c r="S188" s="88">
        <v>0</v>
      </c>
      <c r="T188" s="88">
        <v>0</v>
      </c>
      <c r="U188" s="88">
        <v>0</v>
      </c>
      <c r="V188" s="88">
        <v>0</v>
      </c>
      <c r="W188" s="149">
        <f t="shared" si="88"/>
        <v>2988486.4</v>
      </c>
    </row>
    <row r="189" spans="1:24" x14ac:dyDescent="0.2">
      <c r="A189" s="160">
        <v>1114</v>
      </c>
      <c r="B189" s="9" t="s">
        <v>147</v>
      </c>
      <c r="C189" s="8" t="s">
        <v>249</v>
      </c>
      <c r="D189" s="86">
        <v>39607869</v>
      </c>
      <c r="E189" s="88">
        <v>0</v>
      </c>
      <c r="F189" s="88">
        <v>0</v>
      </c>
      <c r="G189" s="88">
        <v>0</v>
      </c>
      <c r="H189" s="88">
        <v>0</v>
      </c>
      <c r="I189" s="147">
        <f t="shared" si="89"/>
        <v>39607869</v>
      </c>
      <c r="J189" s="88">
        <v>0</v>
      </c>
      <c r="K189" s="88">
        <v>0</v>
      </c>
      <c r="L189" s="88">
        <v>0</v>
      </c>
      <c r="M189" s="88">
        <v>0</v>
      </c>
      <c r="N189" s="88">
        <v>0</v>
      </c>
      <c r="O189" s="88">
        <v>0</v>
      </c>
      <c r="P189" s="88">
        <v>0</v>
      </c>
      <c r="Q189" s="88">
        <v>0</v>
      </c>
      <c r="R189" s="88">
        <v>0</v>
      </c>
      <c r="S189" s="88">
        <v>0</v>
      </c>
      <c r="T189" s="88">
        <v>0</v>
      </c>
      <c r="U189" s="88">
        <v>0</v>
      </c>
      <c r="V189" s="88">
        <v>0</v>
      </c>
      <c r="W189" s="149">
        <f t="shared" ref="W189:W209" si="90">I189-V189</f>
        <v>39607869</v>
      </c>
    </row>
    <row r="190" spans="1:24" x14ac:dyDescent="0.2">
      <c r="A190" s="160">
        <v>1116</v>
      </c>
      <c r="B190" s="9" t="s">
        <v>147</v>
      </c>
      <c r="C190" s="8" t="s">
        <v>249</v>
      </c>
      <c r="D190" s="86">
        <v>8204276.5</v>
      </c>
      <c r="E190" s="88">
        <v>0</v>
      </c>
      <c r="F190" s="88">
        <v>0</v>
      </c>
      <c r="G190" s="88">
        <v>0</v>
      </c>
      <c r="H190" s="88">
        <v>0</v>
      </c>
      <c r="I190" s="147">
        <f t="shared" si="89"/>
        <v>8204276.5</v>
      </c>
      <c r="J190" s="88">
        <v>0</v>
      </c>
      <c r="K190" s="88">
        <v>0</v>
      </c>
      <c r="L190" s="88">
        <v>0</v>
      </c>
      <c r="M190" s="88">
        <v>0</v>
      </c>
      <c r="N190" s="88">
        <v>0</v>
      </c>
      <c r="O190" s="88">
        <v>0</v>
      </c>
      <c r="P190" s="88">
        <v>0</v>
      </c>
      <c r="Q190" s="88">
        <v>0</v>
      </c>
      <c r="R190" s="88">
        <v>0</v>
      </c>
      <c r="S190" s="88">
        <v>0</v>
      </c>
      <c r="T190" s="88">
        <v>0</v>
      </c>
      <c r="U190" s="88">
        <v>0</v>
      </c>
      <c r="V190" s="88">
        <v>0</v>
      </c>
      <c r="W190" s="149">
        <f t="shared" si="90"/>
        <v>8204276.5</v>
      </c>
    </row>
    <row r="191" spans="1:24" x14ac:dyDescent="0.2">
      <c r="A191" s="160">
        <v>1124</v>
      </c>
      <c r="B191" s="9" t="s">
        <v>147</v>
      </c>
      <c r="C191" s="8" t="s">
        <v>249</v>
      </c>
      <c r="D191" s="86">
        <v>8501104.9000000004</v>
      </c>
      <c r="E191" s="88">
        <v>0</v>
      </c>
      <c r="F191" s="88">
        <v>0</v>
      </c>
      <c r="G191" s="88">
        <v>0</v>
      </c>
      <c r="H191" s="88">
        <v>0</v>
      </c>
      <c r="I191" s="147">
        <f t="shared" si="89"/>
        <v>8501104.9000000004</v>
      </c>
      <c r="J191" s="88">
        <v>0</v>
      </c>
      <c r="K191" s="88">
        <v>0</v>
      </c>
      <c r="L191" s="88">
        <v>0</v>
      </c>
      <c r="M191" s="88">
        <v>0</v>
      </c>
      <c r="N191" s="88">
        <v>0</v>
      </c>
      <c r="O191" s="88">
        <v>0</v>
      </c>
      <c r="P191" s="88">
        <v>0</v>
      </c>
      <c r="Q191" s="88">
        <v>0</v>
      </c>
      <c r="R191" s="88">
        <v>0</v>
      </c>
      <c r="S191" s="88">
        <v>0</v>
      </c>
      <c r="T191" s="88">
        <v>0</v>
      </c>
      <c r="U191" s="88">
        <v>0</v>
      </c>
      <c r="V191" s="88">
        <v>0</v>
      </c>
      <c r="W191" s="149">
        <f t="shared" si="90"/>
        <v>8501104.9000000004</v>
      </c>
    </row>
    <row r="192" spans="1:24" x14ac:dyDescent="0.2">
      <c r="A192" s="160">
        <v>1125</v>
      </c>
      <c r="B192" s="9" t="s">
        <v>147</v>
      </c>
      <c r="C192" s="8" t="s">
        <v>249</v>
      </c>
      <c r="D192" s="86">
        <v>8501104.9000000004</v>
      </c>
      <c r="E192" s="88">
        <v>0</v>
      </c>
      <c r="F192" s="88">
        <v>0</v>
      </c>
      <c r="G192" s="88">
        <v>0</v>
      </c>
      <c r="H192" s="88">
        <v>0</v>
      </c>
      <c r="I192" s="147">
        <f>D192+E192-F192+G192-H192</f>
        <v>8501104.9000000004</v>
      </c>
      <c r="J192" s="88">
        <v>0</v>
      </c>
      <c r="K192" s="88">
        <v>0</v>
      </c>
      <c r="L192" s="88">
        <v>0</v>
      </c>
      <c r="M192" s="88">
        <v>0</v>
      </c>
      <c r="N192" s="88">
        <v>0</v>
      </c>
      <c r="O192" s="88">
        <v>0</v>
      </c>
      <c r="P192" s="88">
        <v>0</v>
      </c>
      <c r="Q192" s="88">
        <v>0</v>
      </c>
      <c r="R192" s="88">
        <v>0</v>
      </c>
      <c r="S192" s="88">
        <v>0</v>
      </c>
      <c r="T192" s="88">
        <v>0</v>
      </c>
      <c r="U192" s="88">
        <v>0</v>
      </c>
      <c r="V192" s="88">
        <v>0</v>
      </c>
      <c r="W192" s="149">
        <f t="shared" si="90"/>
        <v>8501104.9000000004</v>
      </c>
    </row>
    <row r="193" spans="1:23" ht="25.5" x14ac:dyDescent="0.2">
      <c r="A193" s="160">
        <v>1128</v>
      </c>
      <c r="B193" s="9" t="s">
        <v>277</v>
      </c>
      <c r="C193" s="8" t="s">
        <v>249</v>
      </c>
      <c r="D193" s="86">
        <v>3166010.2</v>
      </c>
      <c r="E193" s="88">
        <v>0</v>
      </c>
      <c r="F193" s="88">
        <v>0</v>
      </c>
      <c r="G193" s="88">
        <v>0</v>
      </c>
      <c r="H193" s="88">
        <v>0</v>
      </c>
      <c r="I193" s="147">
        <f>D193+E193-F193+G193-H193</f>
        <v>3166010.2</v>
      </c>
      <c r="J193" s="88">
        <v>0</v>
      </c>
      <c r="K193" s="88">
        <v>0</v>
      </c>
      <c r="L193" s="88">
        <v>0</v>
      </c>
      <c r="M193" s="88">
        <v>0</v>
      </c>
      <c r="N193" s="88">
        <v>0</v>
      </c>
      <c r="O193" s="88">
        <v>0</v>
      </c>
      <c r="P193" s="88">
        <v>0</v>
      </c>
      <c r="Q193" s="88">
        <v>0</v>
      </c>
      <c r="R193" s="88">
        <v>0</v>
      </c>
      <c r="S193" s="88">
        <v>0</v>
      </c>
      <c r="T193" s="88">
        <v>0</v>
      </c>
      <c r="U193" s="88">
        <v>0</v>
      </c>
      <c r="V193" s="88">
        <v>0</v>
      </c>
      <c r="W193" s="149">
        <f t="shared" si="90"/>
        <v>3166010.2</v>
      </c>
    </row>
    <row r="194" spans="1:23" x14ac:dyDescent="0.2">
      <c r="A194" s="160">
        <v>1141</v>
      </c>
      <c r="B194" s="9" t="s">
        <v>147</v>
      </c>
      <c r="C194" s="8" t="s">
        <v>249</v>
      </c>
      <c r="D194" s="86">
        <v>7005673.4000000004</v>
      </c>
      <c r="E194" s="88">
        <v>0</v>
      </c>
      <c r="F194" s="88">
        <v>0</v>
      </c>
      <c r="G194" s="88">
        <v>0</v>
      </c>
      <c r="H194" s="88">
        <v>0</v>
      </c>
      <c r="I194" s="147">
        <f>D194+E194-F194+G194-H194</f>
        <v>7005673.4000000004</v>
      </c>
      <c r="J194" s="88">
        <v>0</v>
      </c>
      <c r="K194" s="88">
        <v>0</v>
      </c>
      <c r="L194" s="88">
        <v>0</v>
      </c>
      <c r="M194" s="88">
        <v>0</v>
      </c>
      <c r="N194" s="88">
        <v>0</v>
      </c>
      <c r="O194" s="88">
        <v>0</v>
      </c>
      <c r="P194" s="88">
        <v>0</v>
      </c>
      <c r="Q194" s="88">
        <v>0</v>
      </c>
      <c r="R194" s="88">
        <v>0</v>
      </c>
      <c r="S194" s="88">
        <v>0</v>
      </c>
      <c r="T194" s="88">
        <v>0</v>
      </c>
      <c r="U194" s="88">
        <v>0</v>
      </c>
      <c r="V194" s="88">
        <v>0</v>
      </c>
      <c r="W194" s="149">
        <f t="shared" si="90"/>
        <v>7005673.4000000004</v>
      </c>
    </row>
    <row r="195" spans="1:23" ht="25.5" x14ac:dyDescent="0.2">
      <c r="A195" s="160">
        <v>1178</v>
      </c>
      <c r="B195" s="9" t="s">
        <v>148</v>
      </c>
      <c r="C195" s="8" t="s">
        <v>233</v>
      </c>
      <c r="D195" s="86">
        <v>682636010.55999994</v>
      </c>
      <c r="E195" s="88">
        <v>0</v>
      </c>
      <c r="F195" s="88">
        <v>0</v>
      </c>
      <c r="G195" s="88">
        <v>0</v>
      </c>
      <c r="H195" s="88">
        <v>0</v>
      </c>
      <c r="I195" s="147">
        <f>D195+E195-F195+G195-H195</f>
        <v>682636010.55999994</v>
      </c>
      <c r="J195" s="88">
        <v>0</v>
      </c>
      <c r="K195" s="88">
        <v>0</v>
      </c>
      <c r="L195" s="88">
        <v>0</v>
      </c>
      <c r="M195" s="88">
        <v>0</v>
      </c>
      <c r="N195" s="88">
        <v>0</v>
      </c>
      <c r="O195" s="88">
        <v>0</v>
      </c>
      <c r="P195" s="88">
        <v>0</v>
      </c>
      <c r="Q195" s="88">
        <v>0</v>
      </c>
      <c r="R195" s="88">
        <v>0</v>
      </c>
      <c r="S195" s="88">
        <v>0</v>
      </c>
      <c r="T195" s="88">
        <v>0</v>
      </c>
      <c r="U195" s="88">
        <v>0</v>
      </c>
      <c r="V195" s="88">
        <v>0</v>
      </c>
      <c r="W195" s="149">
        <f t="shared" si="90"/>
        <v>682636010.55999994</v>
      </c>
    </row>
    <row r="196" spans="1:23" ht="25.5" x14ac:dyDescent="0.2">
      <c r="A196" s="160">
        <v>1179</v>
      </c>
      <c r="B196" s="9" t="s">
        <v>148</v>
      </c>
      <c r="C196" s="8" t="s">
        <v>233</v>
      </c>
      <c r="D196" s="86">
        <v>313839809.69999999</v>
      </c>
      <c r="E196" s="88">
        <v>0</v>
      </c>
      <c r="F196" s="88">
        <v>0</v>
      </c>
      <c r="G196" s="88">
        <v>0</v>
      </c>
      <c r="H196" s="88">
        <v>0</v>
      </c>
      <c r="I196" s="147">
        <f>D196+E196-F196+G196-H196</f>
        <v>313839809.69999999</v>
      </c>
      <c r="J196" s="88">
        <v>0</v>
      </c>
      <c r="K196" s="88">
        <v>0</v>
      </c>
      <c r="L196" s="88">
        <v>0</v>
      </c>
      <c r="M196" s="88">
        <v>0</v>
      </c>
      <c r="N196" s="88">
        <v>0</v>
      </c>
      <c r="O196" s="88">
        <v>0</v>
      </c>
      <c r="P196" s="88">
        <v>0</v>
      </c>
      <c r="Q196" s="88">
        <v>0</v>
      </c>
      <c r="R196" s="88">
        <v>0</v>
      </c>
      <c r="S196" s="88">
        <v>0</v>
      </c>
      <c r="T196" s="88">
        <v>0</v>
      </c>
      <c r="U196" s="88">
        <v>0</v>
      </c>
      <c r="V196" s="88">
        <v>0</v>
      </c>
      <c r="W196" s="149">
        <f t="shared" si="90"/>
        <v>313839809.69999999</v>
      </c>
    </row>
    <row r="197" spans="1:23" ht="25.5" x14ac:dyDescent="0.2">
      <c r="A197" s="160">
        <v>1080</v>
      </c>
      <c r="B197" s="9" t="s">
        <v>140</v>
      </c>
      <c r="C197" s="8" t="s">
        <v>233</v>
      </c>
      <c r="D197" s="86">
        <v>180347129</v>
      </c>
      <c r="E197" s="88">
        <v>0</v>
      </c>
      <c r="F197" s="88">
        <v>0</v>
      </c>
      <c r="G197" s="88">
        <v>0</v>
      </c>
      <c r="H197" s="88">
        <v>0</v>
      </c>
      <c r="I197" s="147">
        <f t="shared" ref="I197:I245" si="91">D197+E197-F197+G197-H197</f>
        <v>180347129</v>
      </c>
      <c r="J197" s="147"/>
      <c r="K197" s="147"/>
      <c r="L197" s="147"/>
      <c r="M197" s="147"/>
      <c r="N197" s="147"/>
      <c r="O197" s="147"/>
      <c r="P197" s="147"/>
      <c r="Q197" s="147"/>
      <c r="R197" s="147"/>
      <c r="S197" s="147"/>
      <c r="T197" s="147"/>
      <c r="U197" s="147"/>
      <c r="V197" s="147"/>
      <c r="W197" s="149">
        <f t="shared" si="90"/>
        <v>180347129</v>
      </c>
    </row>
    <row r="198" spans="1:23" x14ac:dyDescent="0.2">
      <c r="A198" s="160">
        <v>1081</v>
      </c>
      <c r="B198" s="9" t="s">
        <v>147</v>
      </c>
      <c r="C198" s="8" t="s">
        <v>249</v>
      </c>
      <c r="D198" s="86">
        <v>5690350.9000000004</v>
      </c>
      <c r="E198" s="88">
        <v>0</v>
      </c>
      <c r="F198" s="88">
        <v>0</v>
      </c>
      <c r="G198" s="88">
        <v>0</v>
      </c>
      <c r="H198" s="88">
        <v>0</v>
      </c>
      <c r="I198" s="147">
        <f t="shared" si="91"/>
        <v>5690350.9000000004</v>
      </c>
      <c r="J198" s="147"/>
      <c r="K198" s="147"/>
      <c r="L198" s="147"/>
      <c r="M198" s="147"/>
      <c r="N198" s="147"/>
      <c r="O198" s="147"/>
      <c r="P198" s="147"/>
      <c r="Q198" s="147"/>
      <c r="R198" s="147"/>
      <c r="S198" s="147"/>
      <c r="T198" s="147"/>
      <c r="U198" s="147"/>
      <c r="V198" s="147"/>
      <c r="W198" s="149">
        <f t="shared" si="90"/>
        <v>5690350.9000000004</v>
      </c>
    </row>
    <row r="199" spans="1:23" ht="25.5" x14ac:dyDescent="0.2">
      <c r="A199" s="160">
        <v>1087</v>
      </c>
      <c r="B199" s="9" t="s">
        <v>148</v>
      </c>
      <c r="C199" s="8" t="s">
        <v>233</v>
      </c>
      <c r="D199" s="86">
        <v>10600000.01</v>
      </c>
      <c r="E199" s="88">
        <v>0</v>
      </c>
      <c r="F199" s="88">
        <v>0</v>
      </c>
      <c r="G199" s="88">
        <v>0</v>
      </c>
      <c r="H199" s="88">
        <v>0</v>
      </c>
      <c r="I199" s="147">
        <f t="shared" si="91"/>
        <v>10600000.01</v>
      </c>
      <c r="J199" s="147"/>
      <c r="K199" s="147"/>
      <c r="L199" s="147"/>
      <c r="M199" s="147"/>
      <c r="N199" s="147"/>
      <c r="O199" s="147"/>
      <c r="P199" s="147"/>
      <c r="Q199" s="147"/>
      <c r="R199" s="147"/>
      <c r="S199" s="147"/>
      <c r="T199" s="147"/>
      <c r="U199" s="147"/>
      <c r="V199" s="147"/>
      <c r="W199" s="149">
        <f t="shared" si="90"/>
        <v>10600000.01</v>
      </c>
    </row>
    <row r="200" spans="1:23" ht="25.5" x14ac:dyDescent="0.2">
      <c r="A200" s="160">
        <v>1213</v>
      </c>
      <c r="B200" s="9" t="s">
        <v>277</v>
      </c>
      <c r="C200" s="8" t="s">
        <v>249</v>
      </c>
      <c r="D200" s="86">
        <v>5028070.7</v>
      </c>
      <c r="E200" s="88">
        <v>0</v>
      </c>
      <c r="F200" s="88">
        <v>0</v>
      </c>
      <c r="G200" s="88">
        <v>0</v>
      </c>
      <c r="H200" s="88">
        <v>0</v>
      </c>
      <c r="I200" s="147">
        <f t="shared" si="91"/>
        <v>5028070.7</v>
      </c>
      <c r="J200" s="88">
        <v>0</v>
      </c>
      <c r="K200" s="88">
        <v>0</v>
      </c>
      <c r="L200" s="88">
        <v>0</v>
      </c>
      <c r="M200" s="88">
        <v>0</v>
      </c>
      <c r="N200" s="88">
        <v>0</v>
      </c>
      <c r="O200" s="88">
        <v>0</v>
      </c>
      <c r="P200" s="88">
        <v>0</v>
      </c>
      <c r="Q200" s="88">
        <v>0</v>
      </c>
      <c r="R200" s="88">
        <v>0</v>
      </c>
      <c r="S200" s="88">
        <v>0</v>
      </c>
      <c r="T200" s="88">
        <v>0</v>
      </c>
      <c r="U200" s="88">
        <v>0</v>
      </c>
      <c r="V200" s="88">
        <v>0</v>
      </c>
      <c r="W200" s="149">
        <f t="shared" si="90"/>
        <v>5028070.7</v>
      </c>
    </row>
    <row r="201" spans="1:23" ht="25.5" x14ac:dyDescent="0.2">
      <c r="A201" s="160">
        <v>1240</v>
      </c>
      <c r="B201" s="9" t="s">
        <v>278</v>
      </c>
      <c r="C201" s="8" t="s">
        <v>233</v>
      </c>
      <c r="D201" s="86">
        <v>1080000</v>
      </c>
      <c r="E201" s="88">
        <v>0</v>
      </c>
      <c r="F201" s="88">
        <v>0</v>
      </c>
      <c r="G201" s="88">
        <v>0</v>
      </c>
      <c r="H201" s="88">
        <v>0</v>
      </c>
      <c r="I201" s="147">
        <f t="shared" si="91"/>
        <v>1080000</v>
      </c>
      <c r="J201" s="88">
        <v>0</v>
      </c>
      <c r="K201" s="88">
        <v>0</v>
      </c>
      <c r="L201" s="88">
        <v>0</v>
      </c>
      <c r="M201" s="88">
        <v>0</v>
      </c>
      <c r="N201" s="88">
        <v>0</v>
      </c>
      <c r="O201" s="88">
        <v>0</v>
      </c>
      <c r="P201" s="88">
        <v>0</v>
      </c>
      <c r="Q201" s="88">
        <v>0</v>
      </c>
      <c r="R201" s="88">
        <v>0</v>
      </c>
      <c r="S201" s="88">
        <v>0</v>
      </c>
      <c r="T201" s="88">
        <v>0</v>
      </c>
      <c r="U201" s="88">
        <v>0</v>
      </c>
      <c r="V201" s="88">
        <v>0</v>
      </c>
      <c r="W201" s="149">
        <f t="shared" si="90"/>
        <v>1080000</v>
      </c>
    </row>
    <row r="202" spans="1:23" ht="25.5" x14ac:dyDescent="0.2">
      <c r="A202" s="160">
        <v>1324</v>
      </c>
      <c r="B202" s="9" t="s">
        <v>277</v>
      </c>
      <c r="C202" s="8" t="s">
        <v>249</v>
      </c>
      <c r="D202" s="86">
        <v>40123380</v>
      </c>
      <c r="E202" s="88">
        <v>0</v>
      </c>
      <c r="F202" s="88">
        <v>0</v>
      </c>
      <c r="G202" s="88">
        <v>0</v>
      </c>
      <c r="H202" s="88">
        <v>0</v>
      </c>
      <c r="I202" s="147">
        <f t="shared" si="91"/>
        <v>40123380</v>
      </c>
      <c r="J202" s="88">
        <v>0</v>
      </c>
      <c r="K202" s="88">
        <v>0</v>
      </c>
      <c r="L202" s="88">
        <v>0</v>
      </c>
      <c r="M202" s="88">
        <v>0</v>
      </c>
      <c r="N202" s="88">
        <v>0</v>
      </c>
      <c r="O202" s="88">
        <v>0</v>
      </c>
      <c r="P202" s="88">
        <v>0</v>
      </c>
      <c r="Q202" s="88">
        <v>0</v>
      </c>
      <c r="R202" s="88">
        <v>0</v>
      </c>
      <c r="S202" s="88">
        <v>0</v>
      </c>
      <c r="T202" s="88">
        <v>0</v>
      </c>
      <c r="U202" s="88">
        <v>0</v>
      </c>
      <c r="V202" s="88">
        <v>0</v>
      </c>
      <c r="W202" s="149">
        <f t="shared" si="90"/>
        <v>40123380</v>
      </c>
    </row>
    <row r="203" spans="1:23" ht="25.5" x14ac:dyDescent="0.2">
      <c r="A203" s="160">
        <v>1325</v>
      </c>
      <c r="B203" s="9" t="s">
        <v>277</v>
      </c>
      <c r="C203" s="8" t="s">
        <v>249</v>
      </c>
      <c r="D203" s="86">
        <v>2207993.2999999998</v>
      </c>
      <c r="E203" s="88">
        <v>0</v>
      </c>
      <c r="F203" s="88">
        <v>0</v>
      </c>
      <c r="G203" s="88">
        <v>0</v>
      </c>
      <c r="H203" s="88">
        <v>0</v>
      </c>
      <c r="I203" s="147">
        <f t="shared" si="91"/>
        <v>2207993.2999999998</v>
      </c>
      <c r="J203" s="88">
        <v>0</v>
      </c>
      <c r="K203" s="88">
        <v>0</v>
      </c>
      <c r="L203" s="88">
        <v>0</v>
      </c>
      <c r="M203" s="88">
        <v>0</v>
      </c>
      <c r="N203" s="88">
        <v>0</v>
      </c>
      <c r="O203" s="88">
        <v>0</v>
      </c>
      <c r="P203" s="88">
        <v>0</v>
      </c>
      <c r="Q203" s="88">
        <v>0</v>
      </c>
      <c r="R203" s="88">
        <v>0</v>
      </c>
      <c r="S203" s="88">
        <v>0</v>
      </c>
      <c r="T203" s="88">
        <v>0</v>
      </c>
      <c r="U203" s="88">
        <v>0</v>
      </c>
      <c r="V203" s="88">
        <v>0</v>
      </c>
      <c r="W203" s="149">
        <f t="shared" si="90"/>
        <v>2207993.2999999998</v>
      </c>
    </row>
    <row r="204" spans="1:23" ht="25.5" x14ac:dyDescent="0.2">
      <c r="A204" s="160">
        <v>1326</v>
      </c>
      <c r="B204" s="9" t="s">
        <v>277</v>
      </c>
      <c r="C204" s="8" t="s">
        <v>249</v>
      </c>
      <c r="D204" s="86">
        <v>2197968.4</v>
      </c>
      <c r="E204" s="88">
        <v>0</v>
      </c>
      <c r="F204" s="88">
        <v>0</v>
      </c>
      <c r="G204" s="88">
        <v>0</v>
      </c>
      <c r="H204" s="88">
        <v>0</v>
      </c>
      <c r="I204" s="147">
        <f t="shared" si="91"/>
        <v>2197968.4</v>
      </c>
      <c r="J204" s="88">
        <v>0</v>
      </c>
      <c r="K204" s="88">
        <v>0</v>
      </c>
      <c r="L204" s="88">
        <v>0</v>
      </c>
      <c r="M204" s="88">
        <v>0</v>
      </c>
      <c r="N204" s="88">
        <v>0</v>
      </c>
      <c r="O204" s="88">
        <v>0</v>
      </c>
      <c r="P204" s="88">
        <v>0</v>
      </c>
      <c r="Q204" s="88">
        <v>0</v>
      </c>
      <c r="R204" s="88">
        <v>0</v>
      </c>
      <c r="S204" s="88">
        <v>0</v>
      </c>
      <c r="T204" s="88">
        <v>0</v>
      </c>
      <c r="U204" s="88">
        <v>0</v>
      </c>
      <c r="V204" s="88">
        <v>0</v>
      </c>
      <c r="W204" s="149">
        <f t="shared" si="90"/>
        <v>2197968.4</v>
      </c>
    </row>
    <row r="205" spans="1:23" ht="25.5" x14ac:dyDescent="0.2">
      <c r="A205" s="160">
        <v>1328</v>
      </c>
      <c r="B205" s="9" t="s">
        <v>156</v>
      </c>
      <c r="C205" s="8" t="s">
        <v>233</v>
      </c>
      <c r="D205" s="86">
        <v>1316000</v>
      </c>
      <c r="E205" s="88">
        <v>0</v>
      </c>
      <c r="F205" s="88">
        <v>0</v>
      </c>
      <c r="G205" s="88">
        <v>0</v>
      </c>
      <c r="H205" s="88">
        <v>0</v>
      </c>
      <c r="I205" s="147">
        <f t="shared" si="91"/>
        <v>1316000</v>
      </c>
      <c r="J205" s="88">
        <v>0</v>
      </c>
      <c r="K205" s="88">
        <v>0</v>
      </c>
      <c r="L205" s="88">
        <v>0</v>
      </c>
      <c r="M205" s="88">
        <v>0</v>
      </c>
      <c r="N205" s="88">
        <v>0</v>
      </c>
      <c r="O205" s="88">
        <v>0</v>
      </c>
      <c r="P205" s="88">
        <v>0</v>
      </c>
      <c r="Q205" s="88">
        <v>0</v>
      </c>
      <c r="R205" s="88">
        <v>0</v>
      </c>
      <c r="S205" s="88">
        <v>0</v>
      </c>
      <c r="T205" s="88">
        <v>0</v>
      </c>
      <c r="U205" s="88">
        <v>0</v>
      </c>
      <c r="V205" s="88">
        <v>0</v>
      </c>
      <c r="W205" s="149">
        <f t="shared" si="90"/>
        <v>1316000</v>
      </c>
    </row>
    <row r="206" spans="1:23" ht="25.5" x14ac:dyDescent="0.2">
      <c r="A206" s="160">
        <v>1333</v>
      </c>
      <c r="B206" s="9" t="s">
        <v>156</v>
      </c>
      <c r="C206" s="8" t="s">
        <v>233</v>
      </c>
      <c r="D206" s="86">
        <v>10802000</v>
      </c>
      <c r="E206" s="88">
        <v>0</v>
      </c>
      <c r="F206" s="88">
        <v>0</v>
      </c>
      <c r="G206" s="88">
        <v>0</v>
      </c>
      <c r="H206" s="88">
        <v>0</v>
      </c>
      <c r="I206" s="147">
        <f t="shared" si="91"/>
        <v>10802000</v>
      </c>
      <c r="J206" s="88">
        <v>0</v>
      </c>
      <c r="K206" s="88">
        <v>0</v>
      </c>
      <c r="L206" s="88">
        <v>0</v>
      </c>
      <c r="M206" s="88">
        <v>0</v>
      </c>
      <c r="N206" s="88">
        <v>0</v>
      </c>
      <c r="O206" s="88">
        <v>0</v>
      </c>
      <c r="P206" s="88">
        <v>0</v>
      </c>
      <c r="Q206" s="88">
        <v>0</v>
      </c>
      <c r="R206" s="88">
        <v>0</v>
      </c>
      <c r="S206" s="88">
        <v>0</v>
      </c>
      <c r="T206" s="88">
        <v>0</v>
      </c>
      <c r="U206" s="88">
        <v>0</v>
      </c>
      <c r="V206" s="88">
        <v>0</v>
      </c>
      <c r="W206" s="149">
        <f t="shared" si="90"/>
        <v>10802000</v>
      </c>
    </row>
    <row r="207" spans="1:23" x14ac:dyDescent="0.2">
      <c r="A207" s="160">
        <v>1345</v>
      </c>
      <c r="B207" s="9" t="s">
        <v>279</v>
      </c>
      <c r="C207" s="8" t="s">
        <v>107</v>
      </c>
      <c r="D207" s="86">
        <v>166136196.56</v>
      </c>
      <c r="E207" s="88">
        <v>0</v>
      </c>
      <c r="F207" s="88">
        <v>0</v>
      </c>
      <c r="G207" s="88">
        <v>0</v>
      </c>
      <c r="H207" s="88">
        <v>0</v>
      </c>
      <c r="I207" s="147">
        <f t="shared" si="91"/>
        <v>166136196.56</v>
      </c>
      <c r="J207" s="88">
        <v>0</v>
      </c>
      <c r="K207" s="88">
        <v>0</v>
      </c>
      <c r="L207" s="88">
        <v>0</v>
      </c>
      <c r="M207" s="88">
        <v>0</v>
      </c>
      <c r="N207" s="88">
        <v>0</v>
      </c>
      <c r="O207" s="88">
        <v>0</v>
      </c>
      <c r="P207" s="88">
        <v>0</v>
      </c>
      <c r="Q207" s="88">
        <v>0</v>
      </c>
      <c r="R207" s="88">
        <v>0</v>
      </c>
      <c r="S207" s="88">
        <v>0</v>
      </c>
      <c r="T207" s="88">
        <v>0</v>
      </c>
      <c r="U207" s="88">
        <v>0</v>
      </c>
      <c r="V207" s="88">
        <v>0</v>
      </c>
      <c r="W207" s="149">
        <f t="shared" si="90"/>
        <v>166136196.56</v>
      </c>
    </row>
    <row r="208" spans="1:23" ht="25.5" x14ac:dyDescent="0.2">
      <c r="A208" s="160">
        <v>1348</v>
      </c>
      <c r="B208" s="9" t="s">
        <v>280</v>
      </c>
      <c r="C208" s="8" t="s">
        <v>102</v>
      </c>
      <c r="D208" s="86">
        <v>228482685.99000001</v>
      </c>
      <c r="E208" s="88">
        <v>0</v>
      </c>
      <c r="F208" s="88">
        <v>0</v>
      </c>
      <c r="G208" s="88">
        <v>0</v>
      </c>
      <c r="H208" s="88">
        <v>0</v>
      </c>
      <c r="I208" s="147">
        <f t="shared" si="91"/>
        <v>228482685.99000001</v>
      </c>
      <c r="J208" s="88">
        <v>0</v>
      </c>
      <c r="K208" s="88">
        <v>0</v>
      </c>
      <c r="L208" s="88">
        <v>0</v>
      </c>
      <c r="M208" s="88">
        <v>0</v>
      </c>
      <c r="N208" s="88">
        <v>0</v>
      </c>
      <c r="O208" s="88">
        <v>0</v>
      </c>
      <c r="P208" s="88">
        <v>0</v>
      </c>
      <c r="Q208" s="88">
        <v>0</v>
      </c>
      <c r="R208" s="88">
        <v>0</v>
      </c>
      <c r="S208" s="88">
        <v>0</v>
      </c>
      <c r="T208" s="88">
        <v>0</v>
      </c>
      <c r="U208" s="88">
        <v>0</v>
      </c>
      <c r="V208" s="88">
        <v>0</v>
      </c>
      <c r="W208" s="149">
        <f t="shared" si="90"/>
        <v>228482685.99000001</v>
      </c>
    </row>
    <row r="209" spans="1:23" ht="25.5" x14ac:dyDescent="0.2">
      <c r="A209" s="160">
        <v>1358</v>
      </c>
      <c r="B209" s="9" t="s">
        <v>278</v>
      </c>
      <c r="C209" s="8" t="s">
        <v>233</v>
      </c>
      <c r="D209" s="86">
        <v>21200000</v>
      </c>
      <c r="E209" s="88">
        <v>0</v>
      </c>
      <c r="F209" s="88">
        <v>0</v>
      </c>
      <c r="G209" s="88">
        <v>0</v>
      </c>
      <c r="H209" s="88">
        <v>0</v>
      </c>
      <c r="I209" s="147">
        <f t="shared" si="91"/>
        <v>21200000</v>
      </c>
      <c r="J209" s="88">
        <v>0</v>
      </c>
      <c r="K209" s="88">
        <v>0</v>
      </c>
      <c r="L209" s="88">
        <v>0</v>
      </c>
      <c r="M209" s="88">
        <v>0</v>
      </c>
      <c r="N209" s="88">
        <v>0</v>
      </c>
      <c r="O209" s="88">
        <v>0</v>
      </c>
      <c r="P209" s="88">
        <v>0</v>
      </c>
      <c r="Q209" s="88">
        <v>0</v>
      </c>
      <c r="R209" s="88">
        <v>0</v>
      </c>
      <c r="S209" s="88">
        <v>0</v>
      </c>
      <c r="T209" s="88">
        <v>0</v>
      </c>
      <c r="U209" s="88">
        <v>0</v>
      </c>
      <c r="V209" s="88">
        <v>0</v>
      </c>
      <c r="W209" s="149">
        <f t="shared" si="90"/>
        <v>21200000</v>
      </c>
    </row>
    <row r="210" spans="1:23" ht="25.5" x14ac:dyDescent="0.2">
      <c r="A210" s="160">
        <v>1376</v>
      </c>
      <c r="B210" s="9" t="s">
        <v>281</v>
      </c>
      <c r="C210" s="8" t="s">
        <v>107</v>
      </c>
      <c r="D210" s="86">
        <v>573619664.69000006</v>
      </c>
      <c r="E210" s="88">
        <v>0</v>
      </c>
      <c r="F210" s="88">
        <v>0</v>
      </c>
      <c r="G210" s="88">
        <v>0</v>
      </c>
      <c r="H210" s="88">
        <v>0</v>
      </c>
      <c r="I210" s="147">
        <f t="shared" si="91"/>
        <v>573619664.69000006</v>
      </c>
      <c r="J210" s="88">
        <v>0</v>
      </c>
      <c r="K210" s="88">
        <v>0</v>
      </c>
      <c r="L210" s="88">
        <v>0</v>
      </c>
      <c r="M210" s="88">
        <v>0</v>
      </c>
      <c r="N210" s="88">
        <v>0</v>
      </c>
      <c r="O210" s="88">
        <v>0</v>
      </c>
      <c r="P210" s="88">
        <v>0</v>
      </c>
      <c r="Q210" s="88">
        <v>0</v>
      </c>
      <c r="R210" s="88">
        <v>0</v>
      </c>
      <c r="S210" s="88">
        <v>0</v>
      </c>
      <c r="T210" s="88">
        <v>0</v>
      </c>
      <c r="U210" s="88">
        <v>0</v>
      </c>
      <c r="V210" s="88">
        <v>0</v>
      </c>
      <c r="W210" s="149"/>
    </row>
    <row r="211" spans="1:23" ht="25.5" x14ac:dyDescent="0.2">
      <c r="A211" s="160">
        <v>1377</v>
      </c>
      <c r="B211" s="9" t="s">
        <v>281</v>
      </c>
      <c r="C211" s="8" t="s">
        <v>107</v>
      </c>
      <c r="D211" s="86">
        <v>40191740.939999998</v>
      </c>
      <c r="E211" s="88">
        <v>0</v>
      </c>
      <c r="F211" s="88">
        <v>0</v>
      </c>
      <c r="G211" s="88">
        <v>0</v>
      </c>
      <c r="H211" s="88">
        <v>0</v>
      </c>
      <c r="I211" s="147">
        <f t="shared" si="91"/>
        <v>40191740.939999998</v>
      </c>
      <c r="J211" s="88">
        <v>0</v>
      </c>
      <c r="K211" s="88">
        <v>0</v>
      </c>
      <c r="L211" s="88">
        <v>0</v>
      </c>
      <c r="M211" s="88">
        <v>0</v>
      </c>
      <c r="N211" s="88">
        <v>0</v>
      </c>
      <c r="O211" s="88">
        <v>0</v>
      </c>
      <c r="P211" s="88">
        <v>0</v>
      </c>
      <c r="Q211" s="88">
        <v>0</v>
      </c>
      <c r="R211" s="88">
        <v>0</v>
      </c>
      <c r="S211" s="88">
        <v>0</v>
      </c>
      <c r="T211" s="88">
        <v>0</v>
      </c>
      <c r="U211" s="88">
        <v>0</v>
      </c>
      <c r="V211" s="88">
        <v>0</v>
      </c>
      <c r="W211" s="149">
        <f t="shared" ref="W211:W245" si="92">I211-V211</f>
        <v>40191740.939999998</v>
      </c>
    </row>
    <row r="212" spans="1:23" ht="25.5" x14ac:dyDescent="0.2">
      <c r="A212" s="160">
        <v>1378</v>
      </c>
      <c r="B212" s="9" t="s">
        <v>282</v>
      </c>
      <c r="C212" s="8" t="s">
        <v>102</v>
      </c>
      <c r="D212" s="86">
        <v>187471482.06</v>
      </c>
      <c r="E212" s="88">
        <v>0</v>
      </c>
      <c r="F212" s="88">
        <v>0</v>
      </c>
      <c r="G212" s="88">
        <v>0</v>
      </c>
      <c r="H212" s="88">
        <v>0</v>
      </c>
      <c r="I212" s="147">
        <f t="shared" si="91"/>
        <v>187471482.06</v>
      </c>
      <c r="J212" s="88">
        <v>0</v>
      </c>
      <c r="K212" s="88">
        <v>0</v>
      </c>
      <c r="L212" s="88">
        <v>0</v>
      </c>
      <c r="M212" s="88">
        <v>0</v>
      </c>
      <c r="N212" s="88">
        <v>0</v>
      </c>
      <c r="O212" s="88">
        <v>0</v>
      </c>
      <c r="P212" s="88">
        <v>0</v>
      </c>
      <c r="Q212" s="88">
        <v>0</v>
      </c>
      <c r="R212" s="88">
        <v>0</v>
      </c>
      <c r="S212" s="88">
        <v>0</v>
      </c>
      <c r="T212" s="88">
        <v>0</v>
      </c>
      <c r="U212" s="88">
        <v>0</v>
      </c>
      <c r="V212" s="88">
        <v>0</v>
      </c>
      <c r="W212" s="149">
        <f t="shared" si="92"/>
        <v>187471482.06</v>
      </c>
    </row>
    <row r="213" spans="1:23" ht="25.5" x14ac:dyDescent="0.2">
      <c r="A213" s="160">
        <v>1379</v>
      </c>
      <c r="B213" s="9" t="s">
        <v>282</v>
      </c>
      <c r="C213" s="8" t="s">
        <v>102</v>
      </c>
      <c r="D213" s="86">
        <v>55605000</v>
      </c>
      <c r="E213" s="88">
        <v>0</v>
      </c>
      <c r="F213" s="88">
        <v>0</v>
      </c>
      <c r="G213" s="88">
        <v>0</v>
      </c>
      <c r="H213" s="88">
        <v>0</v>
      </c>
      <c r="I213" s="147">
        <f t="shared" si="91"/>
        <v>55605000</v>
      </c>
      <c r="J213" s="88">
        <v>0</v>
      </c>
      <c r="K213" s="88">
        <v>0</v>
      </c>
      <c r="L213" s="88">
        <v>0</v>
      </c>
      <c r="M213" s="88">
        <v>0</v>
      </c>
      <c r="N213" s="88">
        <v>0</v>
      </c>
      <c r="O213" s="88">
        <v>0</v>
      </c>
      <c r="P213" s="88">
        <v>0</v>
      </c>
      <c r="Q213" s="88">
        <v>0</v>
      </c>
      <c r="R213" s="88">
        <v>0</v>
      </c>
      <c r="S213" s="88">
        <v>0</v>
      </c>
      <c r="T213" s="88">
        <v>0</v>
      </c>
      <c r="U213" s="88">
        <v>0</v>
      </c>
      <c r="V213" s="88">
        <v>0</v>
      </c>
      <c r="W213" s="149">
        <f t="shared" si="92"/>
        <v>55605000</v>
      </c>
    </row>
    <row r="214" spans="1:23" ht="25.5" x14ac:dyDescent="0.2">
      <c r="A214" s="160">
        <v>1380</v>
      </c>
      <c r="B214" s="9" t="s">
        <v>282</v>
      </c>
      <c r="C214" s="8" t="s">
        <v>102</v>
      </c>
      <c r="D214" s="86">
        <v>25207523.140000001</v>
      </c>
      <c r="E214" s="88">
        <v>0</v>
      </c>
      <c r="F214" s="88">
        <v>0</v>
      </c>
      <c r="G214" s="88">
        <v>0</v>
      </c>
      <c r="H214" s="88">
        <v>0</v>
      </c>
      <c r="I214" s="147">
        <f t="shared" si="91"/>
        <v>25207523.140000001</v>
      </c>
      <c r="J214" s="88">
        <v>0</v>
      </c>
      <c r="K214" s="88">
        <v>0</v>
      </c>
      <c r="L214" s="88">
        <v>0</v>
      </c>
      <c r="M214" s="88">
        <v>0</v>
      </c>
      <c r="N214" s="88">
        <v>0</v>
      </c>
      <c r="O214" s="88">
        <v>0</v>
      </c>
      <c r="P214" s="88">
        <v>0</v>
      </c>
      <c r="Q214" s="88">
        <v>0</v>
      </c>
      <c r="R214" s="88">
        <v>0</v>
      </c>
      <c r="S214" s="88">
        <v>0</v>
      </c>
      <c r="T214" s="88">
        <v>0</v>
      </c>
      <c r="U214" s="88">
        <v>0</v>
      </c>
      <c r="V214" s="88">
        <v>0</v>
      </c>
      <c r="W214" s="149">
        <f t="shared" si="92"/>
        <v>25207523.140000001</v>
      </c>
    </row>
    <row r="215" spans="1:23" ht="25.5" x14ac:dyDescent="0.2">
      <c r="A215" s="160">
        <v>1382</v>
      </c>
      <c r="B215" s="9" t="s">
        <v>283</v>
      </c>
      <c r="C215" s="8" t="s">
        <v>107</v>
      </c>
      <c r="D215" s="86">
        <v>118892816.5</v>
      </c>
      <c r="E215" s="88">
        <v>0</v>
      </c>
      <c r="F215" s="88">
        <v>0</v>
      </c>
      <c r="G215" s="88">
        <v>0</v>
      </c>
      <c r="H215" s="88">
        <v>0</v>
      </c>
      <c r="I215" s="147">
        <f t="shared" si="91"/>
        <v>118892816.5</v>
      </c>
      <c r="J215" s="147">
        <v>0</v>
      </c>
      <c r="K215" s="147">
        <v>0</v>
      </c>
      <c r="L215" s="147">
        <v>0</v>
      </c>
      <c r="M215" s="147">
        <v>0</v>
      </c>
      <c r="N215" s="147">
        <v>0</v>
      </c>
      <c r="O215" s="147">
        <v>0</v>
      </c>
      <c r="P215" s="147">
        <v>0</v>
      </c>
      <c r="Q215" s="147">
        <v>0</v>
      </c>
      <c r="R215" s="147">
        <v>0</v>
      </c>
      <c r="S215" s="147">
        <v>0</v>
      </c>
      <c r="T215" s="147">
        <v>0</v>
      </c>
      <c r="U215" s="147">
        <v>0</v>
      </c>
      <c r="V215" s="147">
        <v>0</v>
      </c>
      <c r="W215" s="149">
        <f t="shared" si="92"/>
        <v>118892816.5</v>
      </c>
    </row>
    <row r="216" spans="1:23" x14ac:dyDescent="0.2">
      <c r="A216" s="160">
        <v>1386</v>
      </c>
      <c r="B216" s="9" t="s">
        <v>284</v>
      </c>
      <c r="C216" s="8" t="s">
        <v>107</v>
      </c>
      <c r="D216" s="86">
        <v>617431276.20000005</v>
      </c>
      <c r="E216" s="88">
        <v>0</v>
      </c>
      <c r="F216" s="88">
        <v>0</v>
      </c>
      <c r="G216" s="88">
        <v>0</v>
      </c>
      <c r="H216" s="88">
        <v>0</v>
      </c>
      <c r="I216" s="147">
        <f t="shared" si="91"/>
        <v>617431276.20000005</v>
      </c>
      <c r="J216" s="147">
        <v>0</v>
      </c>
      <c r="K216" s="147">
        <v>0</v>
      </c>
      <c r="L216" s="147">
        <v>0</v>
      </c>
      <c r="M216" s="147">
        <v>0</v>
      </c>
      <c r="N216" s="147">
        <v>0</v>
      </c>
      <c r="O216" s="147">
        <v>0</v>
      </c>
      <c r="P216" s="147">
        <v>0</v>
      </c>
      <c r="Q216" s="147">
        <v>0</v>
      </c>
      <c r="R216" s="147">
        <v>0</v>
      </c>
      <c r="S216" s="147">
        <v>0</v>
      </c>
      <c r="T216" s="147">
        <v>0</v>
      </c>
      <c r="U216" s="147">
        <v>0</v>
      </c>
      <c r="V216" s="147">
        <v>0</v>
      </c>
      <c r="W216" s="149">
        <f t="shared" si="92"/>
        <v>617431276.20000005</v>
      </c>
    </row>
    <row r="217" spans="1:23" x14ac:dyDescent="0.2">
      <c r="A217" s="160">
        <v>1389</v>
      </c>
      <c r="B217" s="9" t="s">
        <v>285</v>
      </c>
      <c r="C217" s="8" t="s">
        <v>107</v>
      </c>
      <c r="D217" s="86">
        <v>687385164.5</v>
      </c>
      <c r="E217" s="88">
        <v>0</v>
      </c>
      <c r="F217" s="88">
        <v>0</v>
      </c>
      <c r="G217" s="88">
        <v>0</v>
      </c>
      <c r="H217" s="88">
        <v>0</v>
      </c>
      <c r="I217" s="147">
        <f t="shared" si="91"/>
        <v>687385164.5</v>
      </c>
      <c r="J217" s="147">
        <v>0</v>
      </c>
      <c r="K217" s="147">
        <v>0</v>
      </c>
      <c r="L217" s="147">
        <v>0</v>
      </c>
      <c r="M217" s="147">
        <v>0</v>
      </c>
      <c r="N217" s="147">
        <v>0</v>
      </c>
      <c r="O217" s="147">
        <v>0</v>
      </c>
      <c r="P217" s="147">
        <v>0</v>
      </c>
      <c r="Q217" s="147">
        <v>0</v>
      </c>
      <c r="R217" s="147">
        <v>0</v>
      </c>
      <c r="S217" s="147">
        <v>0</v>
      </c>
      <c r="T217" s="147">
        <v>0</v>
      </c>
      <c r="U217" s="147">
        <v>0</v>
      </c>
      <c r="V217" s="147">
        <v>0</v>
      </c>
      <c r="W217" s="149">
        <f t="shared" si="92"/>
        <v>687385164.5</v>
      </c>
    </row>
    <row r="218" spans="1:23" ht="25.5" x14ac:dyDescent="0.2">
      <c r="A218" s="160">
        <v>1390</v>
      </c>
      <c r="B218" s="9" t="s">
        <v>286</v>
      </c>
      <c r="C218" s="8" t="s">
        <v>102</v>
      </c>
      <c r="D218" s="86">
        <v>58197097.799999997</v>
      </c>
      <c r="E218" s="88">
        <v>0</v>
      </c>
      <c r="F218" s="88">
        <v>0</v>
      </c>
      <c r="G218" s="88">
        <v>0</v>
      </c>
      <c r="H218" s="88">
        <v>0</v>
      </c>
      <c r="I218" s="147">
        <f t="shared" si="91"/>
        <v>58197097.799999997</v>
      </c>
      <c r="J218" s="147">
        <v>0</v>
      </c>
      <c r="K218" s="147">
        <v>0</v>
      </c>
      <c r="L218" s="147">
        <v>0</v>
      </c>
      <c r="M218" s="147">
        <v>0</v>
      </c>
      <c r="N218" s="147">
        <v>0</v>
      </c>
      <c r="O218" s="147">
        <v>0</v>
      </c>
      <c r="P218" s="147">
        <v>0</v>
      </c>
      <c r="Q218" s="147">
        <v>0</v>
      </c>
      <c r="R218" s="147">
        <v>0</v>
      </c>
      <c r="S218" s="147">
        <v>0</v>
      </c>
      <c r="T218" s="147">
        <v>0</v>
      </c>
      <c r="U218" s="147">
        <v>0</v>
      </c>
      <c r="V218" s="147">
        <v>0</v>
      </c>
      <c r="W218" s="149">
        <f t="shared" si="92"/>
        <v>58197097.799999997</v>
      </c>
    </row>
    <row r="219" spans="1:23" ht="25.5" x14ac:dyDescent="0.2">
      <c r="A219" s="160">
        <v>1391</v>
      </c>
      <c r="B219" s="9" t="s">
        <v>286</v>
      </c>
      <c r="C219" s="8" t="s">
        <v>102</v>
      </c>
      <c r="D219" s="86">
        <v>16920000</v>
      </c>
      <c r="E219" s="88">
        <v>0</v>
      </c>
      <c r="F219" s="88">
        <v>0</v>
      </c>
      <c r="G219" s="88">
        <v>0</v>
      </c>
      <c r="H219" s="147">
        <v>0</v>
      </c>
      <c r="I219" s="147">
        <f t="shared" si="91"/>
        <v>16920000</v>
      </c>
      <c r="J219" s="147">
        <v>0</v>
      </c>
      <c r="K219" s="147">
        <v>0</v>
      </c>
      <c r="L219" s="147">
        <v>0</v>
      </c>
      <c r="M219" s="147">
        <v>0</v>
      </c>
      <c r="N219" s="147">
        <v>0</v>
      </c>
      <c r="O219" s="147">
        <v>0</v>
      </c>
      <c r="P219" s="147">
        <v>0</v>
      </c>
      <c r="Q219" s="147">
        <v>0</v>
      </c>
      <c r="R219" s="147">
        <v>0</v>
      </c>
      <c r="S219" s="147">
        <v>0</v>
      </c>
      <c r="T219" s="147">
        <v>0</v>
      </c>
      <c r="U219" s="147">
        <v>0</v>
      </c>
      <c r="V219" s="147">
        <v>0</v>
      </c>
      <c r="W219" s="149">
        <f t="shared" si="92"/>
        <v>16920000</v>
      </c>
    </row>
    <row r="220" spans="1:23" x14ac:dyDescent="0.2">
      <c r="A220" s="160">
        <v>1395</v>
      </c>
      <c r="B220" s="9" t="s">
        <v>226</v>
      </c>
      <c r="C220" s="8" t="s">
        <v>107</v>
      </c>
      <c r="D220" s="86">
        <v>177439219.5</v>
      </c>
      <c r="E220" s="88">
        <v>0</v>
      </c>
      <c r="F220" s="88">
        <v>0</v>
      </c>
      <c r="G220" s="88">
        <v>0</v>
      </c>
      <c r="H220" s="88">
        <v>0</v>
      </c>
      <c r="I220" s="147">
        <f t="shared" si="91"/>
        <v>177439219.5</v>
      </c>
      <c r="J220" s="147">
        <v>0</v>
      </c>
      <c r="K220" s="147">
        <v>0</v>
      </c>
      <c r="L220" s="147">
        <v>0</v>
      </c>
      <c r="M220" s="147">
        <v>0</v>
      </c>
      <c r="N220" s="147">
        <v>0</v>
      </c>
      <c r="O220" s="147">
        <v>0</v>
      </c>
      <c r="P220" s="147">
        <v>0</v>
      </c>
      <c r="Q220" s="147">
        <v>0</v>
      </c>
      <c r="R220" s="147">
        <v>0</v>
      </c>
      <c r="S220" s="147">
        <v>0</v>
      </c>
      <c r="T220" s="147">
        <v>0</v>
      </c>
      <c r="U220" s="147">
        <v>0</v>
      </c>
      <c r="V220" s="147">
        <v>0</v>
      </c>
      <c r="W220" s="149">
        <f t="shared" si="92"/>
        <v>177439219.5</v>
      </c>
    </row>
    <row r="221" spans="1:23" ht="25.5" x14ac:dyDescent="0.2">
      <c r="A221" s="160">
        <v>1998</v>
      </c>
      <c r="B221" s="9" t="s">
        <v>278</v>
      </c>
      <c r="C221" s="8" t="s">
        <v>233</v>
      </c>
      <c r="D221" s="86">
        <v>13391333</v>
      </c>
      <c r="E221" s="88">
        <v>0</v>
      </c>
      <c r="F221" s="88">
        <v>0</v>
      </c>
      <c r="G221" s="88">
        <v>0</v>
      </c>
      <c r="H221" s="88">
        <v>0</v>
      </c>
      <c r="I221" s="147">
        <f t="shared" si="91"/>
        <v>13391333</v>
      </c>
      <c r="J221" s="147">
        <v>0</v>
      </c>
      <c r="K221" s="147">
        <v>0</v>
      </c>
      <c r="L221" s="147">
        <v>0</v>
      </c>
      <c r="M221" s="147">
        <v>0</v>
      </c>
      <c r="N221" s="147">
        <v>0</v>
      </c>
      <c r="O221" s="147">
        <v>0</v>
      </c>
      <c r="P221" s="147">
        <v>0</v>
      </c>
      <c r="Q221" s="147">
        <v>0</v>
      </c>
      <c r="R221" s="147">
        <v>0</v>
      </c>
      <c r="S221" s="147">
        <v>0</v>
      </c>
      <c r="T221" s="147">
        <v>0</v>
      </c>
      <c r="U221" s="147">
        <v>0</v>
      </c>
      <c r="V221" s="147">
        <v>0</v>
      </c>
      <c r="W221" s="149">
        <f t="shared" si="92"/>
        <v>13391333</v>
      </c>
    </row>
    <row r="222" spans="1:23" ht="25.5" x14ac:dyDescent="0.2">
      <c r="A222" s="160">
        <v>1427</v>
      </c>
      <c r="B222" s="9" t="s">
        <v>287</v>
      </c>
      <c r="C222" s="8" t="s">
        <v>249</v>
      </c>
      <c r="D222" s="86">
        <v>400061630</v>
      </c>
      <c r="E222" s="88">
        <v>0</v>
      </c>
      <c r="F222" s="88">
        <v>0</v>
      </c>
      <c r="G222" s="88">
        <v>0</v>
      </c>
      <c r="H222" s="88">
        <v>0</v>
      </c>
      <c r="I222" s="147">
        <f t="shared" si="91"/>
        <v>400061630</v>
      </c>
      <c r="J222" s="147">
        <v>0</v>
      </c>
      <c r="K222" s="147">
        <v>0</v>
      </c>
      <c r="L222" s="147">
        <v>0</v>
      </c>
      <c r="M222" s="147">
        <v>0</v>
      </c>
      <c r="N222" s="147">
        <v>0</v>
      </c>
      <c r="O222" s="147">
        <v>0</v>
      </c>
      <c r="P222" s="147">
        <v>0</v>
      </c>
      <c r="Q222" s="147">
        <v>0</v>
      </c>
      <c r="R222" s="147">
        <v>0</v>
      </c>
      <c r="S222" s="147">
        <v>0</v>
      </c>
      <c r="T222" s="147">
        <v>0</v>
      </c>
      <c r="U222" s="147">
        <v>0</v>
      </c>
      <c r="V222" s="147">
        <v>0</v>
      </c>
      <c r="W222" s="149">
        <f t="shared" si="92"/>
        <v>400061630</v>
      </c>
    </row>
    <row r="223" spans="1:23" x14ac:dyDescent="0.2">
      <c r="A223" s="160">
        <v>1490</v>
      </c>
      <c r="B223" s="9" t="s">
        <v>288</v>
      </c>
      <c r="C223" s="8" t="s">
        <v>249</v>
      </c>
      <c r="D223" s="86">
        <v>446387781.07999998</v>
      </c>
      <c r="E223" s="88">
        <v>0</v>
      </c>
      <c r="F223" s="88">
        <v>0</v>
      </c>
      <c r="G223" s="88">
        <v>0</v>
      </c>
      <c r="H223" s="88">
        <v>0</v>
      </c>
      <c r="I223" s="147">
        <f t="shared" si="91"/>
        <v>446387781.07999998</v>
      </c>
      <c r="J223" s="147"/>
      <c r="K223" s="147"/>
      <c r="L223" s="147"/>
      <c r="M223" s="147"/>
      <c r="N223" s="147"/>
      <c r="O223" s="147"/>
      <c r="P223" s="147"/>
      <c r="Q223" s="147"/>
      <c r="R223" s="147"/>
      <c r="S223" s="147"/>
      <c r="T223" s="147"/>
      <c r="U223" s="147"/>
      <c r="V223" s="147"/>
      <c r="W223" s="149">
        <f t="shared" si="92"/>
        <v>446387781.07999998</v>
      </c>
    </row>
    <row r="224" spans="1:23" ht="25.5" x14ac:dyDescent="0.2">
      <c r="A224" s="160">
        <v>1491</v>
      </c>
      <c r="B224" s="9" t="s">
        <v>289</v>
      </c>
      <c r="C224" s="8" t="s">
        <v>249</v>
      </c>
      <c r="D224" s="86">
        <v>307542504.55000001</v>
      </c>
      <c r="E224" s="88">
        <v>0</v>
      </c>
      <c r="F224" s="88">
        <v>0</v>
      </c>
      <c r="G224" s="88">
        <v>0</v>
      </c>
      <c r="H224" s="88">
        <v>0</v>
      </c>
      <c r="I224" s="147">
        <f t="shared" si="91"/>
        <v>307542504.55000001</v>
      </c>
      <c r="J224" s="147">
        <v>0</v>
      </c>
      <c r="K224" s="147">
        <v>0</v>
      </c>
      <c r="L224" s="147">
        <v>0</v>
      </c>
      <c r="M224" s="147">
        <v>0</v>
      </c>
      <c r="N224" s="147">
        <v>0</v>
      </c>
      <c r="O224" s="147">
        <v>0</v>
      </c>
      <c r="P224" s="147">
        <v>0</v>
      </c>
      <c r="Q224" s="147">
        <v>0</v>
      </c>
      <c r="R224" s="147">
        <v>0</v>
      </c>
      <c r="S224" s="147">
        <v>0</v>
      </c>
      <c r="T224" s="147">
        <v>0</v>
      </c>
      <c r="U224" s="147">
        <v>0</v>
      </c>
      <c r="V224" s="147">
        <v>0</v>
      </c>
      <c r="W224" s="149">
        <f t="shared" si="92"/>
        <v>307542504.55000001</v>
      </c>
    </row>
    <row r="225" spans="1:23" x14ac:dyDescent="0.2">
      <c r="A225" s="160">
        <v>1492</v>
      </c>
      <c r="B225" s="9" t="s">
        <v>290</v>
      </c>
      <c r="C225" s="8" t="s">
        <v>249</v>
      </c>
      <c r="D225" s="86">
        <v>42577668.369999997</v>
      </c>
      <c r="E225" s="88">
        <v>0</v>
      </c>
      <c r="F225" s="88">
        <v>0</v>
      </c>
      <c r="G225" s="88">
        <v>0</v>
      </c>
      <c r="H225" s="88">
        <v>0</v>
      </c>
      <c r="I225" s="147">
        <f t="shared" si="91"/>
        <v>42577668.369999997</v>
      </c>
      <c r="J225" s="147">
        <v>0</v>
      </c>
      <c r="K225" s="147">
        <v>0</v>
      </c>
      <c r="L225" s="147">
        <v>0</v>
      </c>
      <c r="M225" s="147">
        <v>0</v>
      </c>
      <c r="N225" s="147">
        <v>0</v>
      </c>
      <c r="O225" s="147">
        <v>0</v>
      </c>
      <c r="P225" s="147">
        <v>0</v>
      </c>
      <c r="Q225" s="147">
        <v>0</v>
      </c>
      <c r="R225" s="147">
        <v>0</v>
      </c>
      <c r="S225" s="147">
        <v>0</v>
      </c>
      <c r="T225" s="147">
        <v>0</v>
      </c>
      <c r="U225" s="147">
        <v>0</v>
      </c>
      <c r="V225" s="147">
        <v>0</v>
      </c>
      <c r="W225" s="149">
        <f t="shared" si="92"/>
        <v>42577668.369999997</v>
      </c>
    </row>
    <row r="226" spans="1:23" ht="25.5" x14ac:dyDescent="0.2">
      <c r="A226" s="160">
        <v>1493</v>
      </c>
      <c r="B226" s="9" t="s">
        <v>291</v>
      </c>
      <c r="C226" s="8" t="s">
        <v>249</v>
      </c>
      <c r="D226" s="86">
        <v>11682124</v>
      </c>
      <c r="E226" s="88">
        <v>0</v>
      </c>
      <c r="F226" s="88">
        <v>0</v>
      </c>
      <c r="G226" s="88">
        <v>0</v>
      </c>
      <c r="H226" s="88">
        <v>0</v>
      </c>
      <c r="I226" s="147">
        <f t="shared" si="91"/>
        <v>11682124</v>
      </c>
      <c r="J226" s="147">
        <v>0</v>
      </c>
      <c r="K226" s="147">
        <v>0</v>
      </c>
      <c r="L226" s="147">
        <v>0</v>
      </c>
      <c r="M226" s="147">
        <v>0</v>
      </c>
      <c r="N226" s="147">
        <v>0</v>
      </c>
      <c r="O226" s="147">
        <v>0</v>
      </c>
      <c r="P226" s="147">
        <v>0</v>
      </c>
      <c r="Q226" s="147">
        <v>0</v>
      </c>
      <c r="R226" s="147">
        <v>0</v>
      </c>
      <c r="S226" s="147">
        <v>0</v>
      </c>
      <c r="T226" s="147">
        <v>0</v>
      </c>
      <c r="U226" s="147">
        <v>0</v>
      </c>
      <c r="V226" s="147">
        <v>0</v>
      </c>
      <c r="W226" s="149">
        <f t="shared" si="92"/>
        <v>11682124</v>
      </c>
    </row>
    <row r="227" spans="1:23" ht="25.5" x14ac:dyDescent="0.2">
      <c r="A227" s="160">
        <v>1494</v>
      </c>
      <c r="B227" s="9" t="s">
        <v>221</v>
      </c>
      <c r="C227" s="8" t="s">
        <v>233</v>
      </c>
      <c r="D227" s="86">
        <v>41576193</v>
      </c>
      <c r="E227" s="88">
        <v>0</v>
      </c>
      <c r="F227" s="88">
        <v>0</v>
      </c>
      <c r="G227" s="88">
        <v>0</v>
      </c>
      <c r="H227" s="88">
        <v>0</v>
      </c>
      <c r="I227" s="147">
        <f t="shared" si="91"/>
        <v>41576193</v>
      </c>
      <c r="J227" s="147">
        <v>0</v>
      </c>
      <c r="K227" s="147">
        <v>0</v>
      </c>
      <c r="L227" s="147">
        <v>0</v>
      </c>
      <c r="M227" s="147">
        <v>0</v>
      </c>
      <c r="N227" s="147">
        <v>0</v>
      </c>
      <c r="O227" s="147">
        <v>0</v>
      </c>
      <c r="P227" s="147">
        <v>0</v>
      </c>
      <c r="Q227" s="147">
        <v>0</v>
      </c>
      <c r="R227" s="147">
        <v>0</v>
      </c>
      <c r="S227" s="147">
        <v>0</v>
      </c>
      <c r="T227" s="147">
        <v>0</v>
      </c>
      <c r="U227" s="147">
        <v>0</v>
      </c>
      <c r="V227" s="147">
        <v>0</v>
      </c>
      <c r="W227" s="149">
        <f t="shared" si="92"/>
        <v>41576193</v>
      </c>
    </row>
    <row r="228" spans="1:23" ht="25.5" x14ac:dyDescent="0.2">
      <c r="A228" s="160">
        <v>1495</v>
      </c>
      <c r="B228" s="9" t="s">
        <v>156</v>
      </c>
      <c r="C228" s="8" t="s">
        <v>233</v>
      </c>
      <c r="D228" s="86">
        <v>4849661</v>
      </c>
      <c r="E228" s="88">
        <v>0</v>
      </c>
      <c r="F228" s="88">
        <v>0</v>
      </c>
      <c r="G228" s="88">
        <v>0</v>
      </c>
      <c r="H228" s="88">
        <v>0</v>
      </c>
      <c r="I228" s="147">
        <f t="shared" si="91"/>
        <v>4849661</v>
      </c>
      <c r="J228" s="147">
        <v>0</v>
      </c>
      <c r="K228" s="147">
        <v>0</v>
      </c>
      <c r="L228" s="147">
        <v>0</v>
      </c>
      <c r="M228" s="147">
        <v>0</v>
      </c>
      <c r="N228" s="147">
        <v>0</v>
      </c>
      <c r="O228" s="147">
        <v>0</v>
      </c>
      <c r="P228" s="147">
        <v>0</v>
      </c>
      <c r="Q228" s="147">
        <v>0</v>
      </c>
      <c r="R228" s="147">
        <v>0</v>
      </c>
      <c r="S228" s="147">
        <v>0</v>
      </c>
      <c r="T228" s="147">
        <v>0</v>
      </c>
      <c r="U228" s="147">
        <v>0</v>
      </c>
      <c r="V228" s="147">
        <v>0</v>
      </c>
      <c r="W228" s="149">
        <f t="shared" si="92"/>
        <v>4849661</v>
      </c>
    </row>
    <row r="229" spans="1:23" x14ac:dyDescent="0.2">
      <c r="A229" s="160">
        <v>1519</v>
      </c>
      <c r="B229" s="9" t="s">
        <v>147</v>
      </c>
      <c r="C229" s="8" t="s">
        <v>249</v>
      </c>
      <c r="D229" s="86">
        <v>2358475.7000000002</v>
      </c>
      <c r="E229" s="88">
        <v>0</v>
      </c>
      <c r="F229" s="88">
        <v>0</v>
      </c>
      <c r="G229" s="88">
        <v>0</v>
      </c>
      <c r="H229" s="88">
        <v>0</v>
      </c>
      <c r="I229" s="147">
        <f t="shared" si="91"/>
        <v>2358475.7000000002</v>
      </c>
      <c r="J229" s="147">
        <v>0</v>
      </c>
      <c r="K229" s="147">
        <v>0</v>
      </c>
      <c r="L229" s="147">
        <v>0</v>
      </c>
      <c r="M229" s="147">
        <v>0</v>
      </c>
      <c r="N229" s="147">
        <v>0</v>
      </c>
      <c r="O229" s="147">
        <v>0</v>
      </c>
      <c r="P229" s="147">
        <v>0</v>
      </c>
      <c r="Q229" s="147">
        <v>0</v>
      </c>
      <c r="R229" s="147">
        <v>0</v>
      </c>
      <c r="S229" s="147">
        <v>0</v>
      </c>
      <c r="T229" s="147">
        <v>0</v>
      </c>
      <c r="U229" s="147">
        <v>0</v>
      </c>
      <c r="V229" s="147">
        <v>0</v>
      </c>
      <c r="W229" s="149">
        <f t="shared" si="92"/>
        <v>2358475.7000000002</v>
      </c>
    </row>
    <row r="230" spans="1:23" x14ac:dyDescent="0.2">
      <c r="A230" s="160">
        <v>1520</v>
      </c>
      <c r="B230" s="9" t="s">
        <v>147</v>
      </c>
      <c r="C230" s="8" t="s">
        <v>249</v>
      </c>
      <c r="D230" s="86">
        <v>2758493</v>
      </c>
      <c r="E230" s="88">
        <v>0</v>
      </c>
      <c r="F230" s="88">
        <v>0</v>
      </c>
      <c r="G230" s="88">
        <v>0</v>
      </c>
      <c r="H230" s="88">
        <v>0</v>
      </c>
      <c r="I230" s="147">
        <f t="shared" si="91"/>
        <v>2758493</v>
      </c>
      <c r="J230" s="147">
        <v>0</v>
      </c>
      <c r="K230" s="147">
        <v>0</v>
      </c>
      <c r="L230" s="147">
        <v>0</v>
      </c>
      <c r="M230" s="147">
        <v>0</v>
      </c>
      <c r="N230" s="147">
        <v>0</v>
      </c>
      <c r="O230" s="147">
        <v>0</v>
      </c>
      <c r="P230" s="147">
        <v>0</v>
      </c>
      <c r="Q230" s="147">
        <v>0</v>
      </c>
      <c r="R230" s="147">
        <v>0</v>
      </c>
      <c r="S230" s="147">
        <v>0</v>
      </c>
      <c r="T230" s="147">
        <v>0</v>
      </c>
      <c r="U230" s="147">
        <v>0</v>
      </c>
      <c r="V230" s="147">
        <v>0</v>
      </c>
      <c r="W230" s="149">
        <f t="shared" si="92"/>
        <v>2758493</v>
      </c>
    </row>
    <row r="231" spans="1:23" x14ac:dyDescent="0.2">
      <c r="A231" s="160">
        <v>1522</v>
      </c>
      <c r="B231" s="9" t="s">
        <v>147</v>
      </c>
      <c r="C231" s="8" t="s">
        <v>249</v>
      </c>
      <c r="D231" s="86">
        <v>3526900</v>
      </c>
      <c r="E231" s="88">
        <v>0</v>
      </c>
      <c r="F231" s="88">
        <v>0</v>
      </c>
      <c r="G231" s="88">
        <v>0</v>
      </c>
      <c r="H231" s="88">
        <v>0</v>
      </c>
      <c r="I231" s="147">
        <f t="shared" si="91"/>
        <v>3526900</v>
      </c>
      <c r="J231" s="147">
        <v>0</v>
      </c>
      <c r="K231" s="147">
        <v>0</v>
      </c>
      <c r="L231" s="147">
        <v>0</v>
      </c>
      <c r="M231" s="147">
        <v>0</v>
      </c>
      <c r="N231" s="147">
        <v>0</v>
      </c>
      <c r="O231" s="147">
        <v>0</v>
      </c>
      <c r="P231" s="147">
        <v>0</v>
      </c>
      <c r="Q231" s="147">
        <v>0</v>
      </c>
      <c r="R231" s="147">
        <v>0</v>
      </c>
      <c r="S231" s="147">
        <v>0</v>
      </c>
      <c r="T231" s="147">
        <v>0</v>
      </c>
      <c r="U231" s="147">
        <v>0</v>
      </c>
      <c r="V231" s="147">
        <v>0</v>
      </c>
      <c r="W231" s="149">
        <f t="shared" si="92"/>
        <v>3526900</v>
      </c>
    </row>
    <row r="232" spans="1:23" ht="25.5" x14ac:dyDescent="0.2">
      <c r="A232" s="160">
        <v>1618</v>
      </c>
      <c r="B232" s="9" t="s">
        <v>277</v>
      </c>
      <c r="C232" s="8" t="s">
        <v>249</v>
      </c>
      <c r="D232" s="86">
        <v>44536688</v>
      </c>
      <c r="E232" s="88">
        <v>0</v>
      </c>
      <c r="F232" s="88">
        <v>0</v>
      </c>
      <c r="G232" s="88">
        <v>0</v>
      </c>
      <c r="H232" s="88">
        <v>0</v>
      </c>
      <c r="I232" s="147">
        <f t="shared" si="91"/>
        <v>44536688</v>
      </c>
      <c r="J232" s="147">
        <v>0</v>
      </c>
      <c r="K232" s="147">
        <v>0</v>
      </c>
      <c r="L232" s="147">
        <v>0</v>
      </c>
      <c r="M232" s="147">
        <v>0</v>
      </c>
      <c r="N232" s="147">
        <v>0</v>
      </c>
      <c r="O232" s="147">
        <v>0</v>
      </c>
      <c r="P232" s="147">
        <v>0</v>
      </c>
      <c r="Q232" s="147">
        <v>0</v>
      </c>
      <c r="R232" s="147">
        <v>0</v>
      </c>
      <c r="S232" s="147">
        <v>0</v>
      </c>
      <c r="T232" s="147">
        <v>0</v>
      </c>
      <c r="U232" s="147">
        <v>0</v>
      </c>
      <c r="V232" s="147">
        <v>0</v>
      </c>
      <c r="W232" s="149">
        <f t="shared" si="92"/>
        <v>44536688</v>
      </c>
    </row>
    <row r="233" spans="1:23" ht="25.5" x14ac:dyDescent="0.2">
      <c r="A233" s="160">
        <v>1619</v>
      </c>
      <c r="B233" s="9" t="s">
        <v>277</v>
      </c>
      <c r="C233" s="8" t="s">
        <v>249</v>
      </c>
      <c r="D233" s="86">
        <v>19868612.5</v>
      </c>
      <c r="E233" s="88">
        <v>0</v>
      </c>
      <c r="F233" s="88">
        <v>0</v>
      </c>
      <c r="G233" s="88">
        <v>0</v>
      </c>
      <c r="H233" s="88">
        <v>0</v>
      </c>
      <c r="I233" s="147">
        <f t="shared" si="91"/>
        <v>19868612.5</v>
      </c>
      <c r="J233" s="147">
        <v>0</v>
      </c>
      <c r="K233" s="147">
        <v>0</v>
      </c>
      <c r="L233" s="147">
        <v>0</v>
      </c>
      <c r="M233" s="147">
        <v>0</v>
      </c>
      <c r="N233" s="147">
        <v>0</v>
      </c>
      <c r="O233" s="147">
        <v>0</v>
      </c>
      <c r="P233" s="147">
        <v>0</v>
      </c>
      <c r="Q233" s="147">
        <v>0</v>
      </c>
      <c r="R233" s="147">
        <v>0</v>
      </c>
      <c r="S233" s="147">
        <v>0</v>
      </c>
      <c r="T233" s="147">
        <v>0</v>
      </c>
      <c r="U233" s="147">
        <v>0</v>
      </c>
      <c r="V233" s="147">
        <v>0</v>
      </c>
      <c r="W233" s="149">
        <f t="shared" si="92"/>
        <v>19868612.5</v>
      </c>
    </row>
    <row r="234" spans="1:23" ht="25.5" x14ac:dyDescent="0.2">
      <c r="A234" s="160">
        <v>1620</v>
      </c>
      <c r="B234" s="9" t="s">
        <v>277</v>
      </c>
      <c r="C234" s="8" t="s">
        <v>249</v>
      </c>
      <c r="D234" s="86">
        <v>30401355.5</v>
      </c>
      <c r="E234" s="88">
        <v>0</v>
      </c>
      <c r="F234" s="88">
        <v>0</v>
      </c>
      <c r="G234" s="88">
        <v>0</v>
      </c>
      <c r="H234" s="88">
        <v>0</v>
      </c>
      <c r="I234" s="147">
        <f t="shared" si="91"/>
        <v>30401355.5</v>
      </c>
      <c r="J234" s="147">
        <v>0</v>
      </c>
      <c r="K234" s="147">
        <v>0</v>
      </c>
      <c r="L234" s="147">
        <v>0</v>
      </c>
      <c r="M234" s="147">
        <v>0</v>
      </c>
      <c r="N234" s="147">
        <v>0</v>
      </c>
      <c r="O234" s="147">
        <v>0</v>
      </c>
      <c r="P234" s="147">
        <v>0</v>
      </c>
      <c r="Q234" s="147">
        <v>0</v>
      </c>
      <c r="R234" s="147">
        <v>0</v>
      </c>
      <c r="S234" s="147">
        <v>0</v>
      </c>
      <c r="T234" s="147">
        <v>0</v>
      </c>
      <c r="U234" s="147">
        <v>0</v>
      </c>
      <c r="V234" s="147">
        <v>0</v>
      </c>
      <c r="W234" s="149">
        <f t="shared" si="92"/>
        <v>30401355.5</v>
      </c>
    </row>
    <row r="235" spans="1:23" ht="25.5" x14ac:dyDescent="0.2">
      <c r="A235" s="160">
        <v>1651</v>
      </c>
      <c r="B235" s="9" t="s">
        <v>292</v>
      </c>
      <c r="C235" s="8" t="s">
        <v>253</v>
      </c>
      <c r="D235" s="147">
        <v>11310000</v>
      </c>
      <c r="E235" s="88">
        <v>0</v>
      </c>
      <c r="F235" s="88">
        <v>0</v>
      </c>
      <c r="G235" s="88">
        <v>0</v>
      </c>
      <c r="H235" s="88">
        <v>0</v>
      </c>
      <c r="I235" s="147">
        <f t="shared" si="91"/>
        <v>11310000</v>
      </c>
      <c r="J235" s="147">
        <v>0</v>
      </c>
      <c r="K235" s="147">
        <v>0</v>
      </c>
      <c r="L235" s="147">
        <v>0</v>
      </c>
      <c r="M235" s="147">
        <v>0</v>
      </c>
      <c r="N235" s="147">
        <v>0</v>
      </c>
      <c r="O235" s="147">
        <v>0</v>
      </c>
      <c r="P235" s="147">
        <v>0</v>
      </c>
      <c r="Q235" s="147">
        <v>0</v>
      </c>
      <c r="R235" s="147">
        <v>0</v>
      </c>
      <c r="S235" s="147">
        <v>0</v>
      </c>
      <c r="T235" s="147">
        <v>0</v>
      </c>
      <c r="U235" s="147">
        <v>0</v>
      </c>
      <c r="V235" s="147">
        <v>0</v>
      </c>
      <c r="W235" s="149">
        <f t="shared" si="92"/>
        <v>11310000</v>
      </c>
    </row>
    <row r="236" spans="1:23" ht="25.5" x14ac:dyDescent="0.2">
      <c r="A236" s="160">
        <v>1652</v>
      </c>
      <c r="B236" s="9" t="s">
        <v>292</v>
      </c>
      <c r="C236" s="8" t="s">
        <v>253</v>
      </c>
      <c r="D236" s="147">
        <v>9000000</v>
      </c>
      <c r="E236" s="88">
        <v>0</v>
      </c>
      <c r="F236" s="88">
        <v>0</v>
      </c>
      <c r="G236" s="88">
        <v>0</v>
      </c>
      <c r="H236" s="88">
        <v>0</v>
      </c>
      <c r="I236" s="147">
        <f t="shared" si="91"/>
        <v>9000000</v>
      </c>
      <c r="J236" s="147">
        <v>0</v>
      </c>
      <c r="K236" s="147">
        <v>0</v>
      </c>
      <c r="L236" s="147">
        <v>0</v>
      </c>
      <c r="M236" s="147">
        <v>0</v>
      </c>
      <c r="N236" s="147">
        <v>0</v>
      </c>
      <c r="O236" s="147">
        <v>0</v>
      </c>
      <c r="P236" s="147">
        <v>0</v>
      </c>
      <c r="Q236" s="147">
        <v>0</v>
      </c>
      <c r="R236" s="147">
        <v>0</v>
      </c>
      <c r="S236" s="147">
        <v>0</v>
      </c>
      <c r="T236" s="147">
        <v>0</v>
      </c>
      <c r="U236" s="147">
        <v>0</v>
      </c>
      <c r="V236" s="147">
        <v>0</v>
      </c>
      <c r="W236" s="149">
        <f t="shared" si="92"/>
        <v>9000000</v>
      </c>
    </row>
    <row r="237" spans="1:23" x14ac:dyDescent="0.2">
      <c r="A237" s="160">
        <v>1653</v>
      </c>
      <c r="B237" s="9" t="s">
        <v>250</v>
      </c>
      <c r="C237" s="8" t="s">
        <v>249</v>
      </c>
      <c r="D237" s="147">
        <v>430000000</v>
      </c>
      <c r="E237" s="88">
        <v>0</v>
      </c>
      <c r="F237" s="88">
        <v>0</v>
      </c>
      <c r="G237" s="88">
        <v>0</v>
      </c>
      <c r="H237" s="88">
        <v>0</v>
      </c>
      <c r="I237" s="147">
        <f t="shared" si="91"/>
        <v>430000000</v>
      </c>
      <c r="J237" s="147">
        <v>0</v>
      </c>
      <c r="K237" s="147">
        <v>0</v>
      </c>
      <c r="L237" s="147">
        <v>0</v>
      </c>
      <c r="M237" s="147">
        <v>0</v>
      </c>
      <c r="N237" s="147">
        <v>0</v>
      </c>
      <c r="O237" s="147">
        <v>0</v>
      </c>
      <c r="P237" s="147">
        <v>0</v>
      </c>
      <c r="Q237" s="147">
        <v>0</v>
      </c>
      <c r="R237" s="147">
        <v>0</v>
      </c>
      <c r="S237" s="147">
        <v>0</v>
      </c>
      <c r="T237" s="147">
        <v>0</v>
      </c>
      <c r="U237" s="147">
        <v>0</v>
      </c>
      <c r="V237" s="147">
        <v>0</v>
      </c>
      <c r="W237" s="149">
        <f t="shared" si="92"/>
        <v>430000000</v>
      </c>
    </row>
    <row r="238" spans="1:23" x14ac:dyDescent="0.2">
      <c r="A238" s="160">
        <v>1654</v>
      </c>
      <c r="B238" s="9" t="s">
        <v>250</v>
      </c>
      <c r="C238" s="8" t="s">
        <v>249</v>
      </c>
      <c r="D238" s="147">
        <v>112853870.7</v>
      </c>
      <c r="E238" s="88">
        <v>0</v>
      </c>
      <c r="F238" s="88">
        <v>0</v>
      </c>
      <c r="G238" s="88">
        <v>0</v>
      </c>
      <c r="H238" s="88">
        <v>0</v>
      </c>
      <c r="I238" s="147">
        <f t="shared" si="91"/>
        <v>112853870.7</v>
      </c>
      <c r="J238" s="147">
        <v>0</v>
      </c>
      <c r="K238" s="147">
        <v>0</v>
      </c>
      <c r="L238" s="147">
        <v>0</v>
      </c>
      <c r="M238" s="147">
        <v>0</v>
      </c>
      <c r="N238" s="147">
        <v>0</v>
      </c>
      <c r="O238" s="147">
        <v>0</v>
      </c>
      <c r="P238" s="147">
        <v>0</v>
      </c>
      <c r="Q238" s="147">
        <v>0</v>
      </c>
      <c r="R238" s="147">
        <v>0</v>
      </c>
      <c r="S238" s="147">
        <v>0</v>
      </c>
      <c r="T238" s="147">
        <v>0</v>
      </c>
      <c r="U238" s="147">
        <v>0</v>
      </c>
      <c r="V238" s="147">
        <v>0</v>
      </c>
      <c r="W238" s="149">
        <f t="shared" si="92"/>
        <v>112853870.7</v>
      </c>
    </row>
    <row r="239" spans="1:23" ht="25.5" x14ac:dyDescent="0.2">
      <c r="A239" s="160">
        <v>1655</v>
      </c>
      <c r="B239" s="9" t="s">
        <v>293</v>
      </c>
      <c r="C239" s="8" t="s">
        <v>249</v>
      </c>
      <c r="D239" s="147">
        <v>45470481.369999997</v>
      </c>
      <c r="E239" s="88">
        <v>0</v>
      </c>
      <c r="F239" s="88">
        <v>0</v>
      </c>
      <c r="G239" s="88">
        <v>0</v>
      </c>
      <c r="H239" s="88">
        <v>0</v>
      </c>
      <c r="I239" s="147">
        <f t="shared" si="91"/>
        <v>45470481.369999997</v>
      </c>
      <c r="J239" s="147">
        <v>0</v>
      </c>
      <c r="K239" s="147">
        <v>0</v>
      </c>
      <c r="L239" s="147">
        <v>0</v>
      </c>
      <c r="M239" s="147">
        <v>0</v>
      </c>
      <c r="N239" s="147">
        <v>0</v>
      </c>
      <c r="O239" s="147">
        <v>0</v>
      </c>
      <c r="P239" s="147">
        <v>0</v>
      </c>
      <c r="Q239" s="147">
        <v>0</v>
      </c>
      <c r="R239" s="147">
        <v>0</v>
      </c>
      <c r="S239" s="147">
        <v>0</v>
      </c>
      <c r="T239" s="147">
        <v>0</v>
      </c>
      <c r="U239" s="147">
        <v>0</v>
      </c>
      <c r="V239" s="147">
        <v>0</v>
      </c>
      <c r="W239" s="149">
        <f t="shared" si="92"/>
        <v>45470481.369999997</v>
      </c>
    </row>
    <row r="240" spans="1:23" x14ac:dyDescent="0.2">
      <c r="A240" s="160">
        <v>1656</v>
      </c>
      <c r="B240" s="9" t="s">
        <v>294</v>
      </c>
      <c r="C240" s="8" t="s">
        <v>249</v>
      </c>
      <c r="D240" s="147">
        <v>1003491500</v>
      </c>
      <c r="E240" s="88">
        <v>0</v>
      </c>
      <c r="F240" s="88">
        <v>0</v>
      </c>
      <c r="G240" s="88">
        <v>0</v>
      </c>
      <c r="H240" s="88">
        <v>0</v>
      </c>
      <c r="I240" s="147">
        <f t="shared" si="91"/>
        <v>1003491500</v>
      </c>
      <c r="J240" s="147">
        <v>0</v>
      </c>
      <c r="K240" s="147">
        <v>0</v>
      </c>
      <c r="L240" s="147">
        <v>0</v>
      </c>
      <c r="M240" s="147">
        <v>0</v>
      </c>
      <c r="N240" s="147">
        <v>0</v>
      </c>
      <c r="O240" s="147">
        <v>0</v>
      </c>
      <c r="P240" s="147">
        <v>0</v>
      </c>
      <c r="Q240" s="147">
        <v>0</v>
      </c>
      <c r="R240" s="147">
        <v>0</v>
      </c>
      <c r="S240" s="147">
        <v>0</v>
      </c>
      <c r="T240" s="147">
        <v>0</v>
      </c>
      <c r="U240" s="147">
        <v>0</v>
      </c>
      <c r="V240" s="147">
        <v>0</v>
      </c>
      <c r="W240" s="149">
        <f t="shared" si="92"/>
        <v>1003491500</v>
      </c>
    </row>
    <row r="241" spans="1:66" x14ac:dyDescent="0.2">
      <c r="A241" s="160">
        <v>1657</v>
      </c>
      <c r="B241" s="9" t="s">
        <v>251</v>
      </c>
      <c r="C241" s="8" t="s">
        <v>107</v>
      </c>
      <c r="D241" s="147">
        <v>137846830</v>
      </c>
      <c r="E241" s="88">
        <v>0</v>
      </c>
      <c r="F241" s="88">
        <v>0</v>
      </c>
      <c r="G241" s="88">
        <v>0</v>
      </c>
      <c r="H241" s="88">
        <v>0</v>
      </c>
      <c r="I241" s="147">
        <f t="shared" si="91"/>
        <v>137846830</v>
      </c>
      <c r="J241" s="147">
        <v>0</v>
      </c>
      <c r="K241" s="147">
        <v>0</v>
      </c>
      <c r="L241" s="147">
        <v>0</v>
      </c>
      <c r="M241" s="147">
        <v>0</v>
      </c>
      <c r="N241" s="147">
        <v>0</v>
      </c>
      <c r="O241" s="147">
        <v>0</v>
      </c>
      <c r="P241" s="147">
        <v>0</v>
      </c>
      <c r="Q241" s="147">
        <v>0</v>
      </c>
      <c r="R241" s="147">
        <v>0</v>
      </c>
      <c r="S241" s="147">
        <v>0</v>
      </c>
      <c r="T241" s="147">
        <v>0</v>
      </c>
      <c r="U241" s="147">
        <v>0</v>
      </c>
      <c r="V241" s="147">
        <v>0</v>
      </c>
      <c r="W241" s="149">
        <f t="shared" si="92"/>
        <v>137846830</v>
      </c>
    </row>
    <row r="242" spans="1:66" ht="25.5" x14ac:dyDescent="0.2">
      <c r="A242" s="160">
        <v>1658</v>
      </c>
      <c r="B242" s="9" t="s">
        <v>252</v>
      </c>
      <c r="C242" s="8" t="s">
        <v>253</v>
      </c>
      <c r="D242" s="147">
        <v>116106151</v>
      </c>
      <c r="E242" s="88">
        <v>0</v>
      </c>
      <c r="F242" s="88">
        <v>0</v>
      </c>
      <c r="G242" s="88">
        <v>0</v>
      </c>
      <c r="H242" s="88">
        <v>0</v>
      </c>
      <c r="I242" s="147">
        <f t="shared" si="91"/>
        <v>116106151</v>
      </c>
      <c r="J242" s="147">
        <v>0</v>
      </c>
      <c r="K242" s="147">
        <v>0</v>
      </c>
      <c r="L242" s="147">
        <v>0</v>
      </c>
      <c r="M242" s="147">
        <v>0</v>
      </c>
      <c r="N242" s="147">
        <v>0</v>
      </c>
      <c r="O242" s="147">
        <v>0</v>
      </c>
      <c r="P242" s="147">
        <v>0</v>
      </c>
      <c r="Q242" s="147">
        <v>0</v>
      </c>
      <c r="R242" s="147">
        <v>0</v>
      </c>
      <c r="S242" s="147">
        <v>0</v>
      </c>
      <c r="T242" s="147">
        <v>0</v>
      </c>
      <c r="U242" s="147">
        <v>0</v>
      </c>
      <c r="V242" s="147">
        <v>0</v>
      </c>
      <c r="W242" s="149">
        <f t="shared" si="92"/>
        <v>116106151</v>
      </c>
    </row>
    <row r="243" spans="1:66" ht="25.5" x14ac:dyDescent="0.2">
      <c r="A243" s="160">
        <v>1659</v>
      </c>
      <c r="B243" s="9" t="s">
        <v>292</v>
      </c>
      <c r="C243" s="8" t="s">
        <v>253</v>
      </c>
      <c r="D243" s="147">
        <v>1299384.24</v>
      </c>
      <c r="E243" s="88">
        <v>0</v>
      </c>
      <c r="F243" s="88">
        <v>0</v>
      </c>
      <c r="G243" s="88">
        <v>0</v>
      </c>
      <c r="H243" s="88">
        <v>0</v>
      </c>
      <c r="I243" s="147">
        <f t="shared" si="91"/>
        <v>1299384.24</v>
      </c>
      <c r="J243" s="147">
        <v>0</v>
      </c>
      <c r="K243" s="147">
        <v>0</v>
      </c>
      <c r="L243" s="147">
        <v>0</v>
      </c>
      <c r="M243" s="147">
        <v>0</v>
      </c>
      <c r="N243" s="147">
        <v>0</v>
      </c>
      <c r="O243" s="147">
        <v>0</v>
      </c>
      <c r="P243" s="147">
        <v>0</v>
      </c>
      <c r="Q243" s="147">
        <v>0</v>
      </c>
      <c r="R243" s="147">
        <v>0</v>
      </c>
      <c r="S243" s="147">
        <v>0</v>
      </c>
      <c r="T243" s="147">
        <v>0</v>
      </c>
      <c r="U243" s="147">
        <v>0</v>
      </c>
      <c r="V243" s="147">
        <v>0</v>
      </c>
      <c r="W243" s="149">
        <f t="shared" si="92"/>
        <v>1299384.24</v>
      </c>
    </row>
    <row r="244" spans="1:66" x14ac:dyDescent="0.2">
      <c r="A244" s="160">
        <v>1661</v>
      </c>
      <c r="B244" s="9" t="s">
        <v>295</v>
      </c>
      <c r="C244" s="8" t="s">
        <v>249</v>
      </c>
      <c r="D244" s="86">
        <v>149999926</v>
      </c>
      <c r="E244" s="88">
        <v>0</v>
      </c>
      <c r="F244" s="88">
        <v>0</v>
      </c>
      <c r="G244" s="88">
        <v>0</v>
      </c>
      <c r="H244" s="88">
        <v>0</v>
      </c>
      <c r="I244" s="147">
        <f t="shared" si="91"/>
        <v>149999926</v>
      </c>
      <c r="J244" s="147">
        <v>0</v>
      </c>
      <c r="K244" s="147">
        <v>0</v>
      </c>
      <c r="L244" s="147">
        <v>0</v>
      </c>
      <c r="M244" s="147">
        <v>0</v>
      </c>
      <c r="N244" s="147">
        <v>0</v>
      </c>
      <c r="O244" s="147">
        <v>0</v>
      </c>
      <c r="P244" s="147">
        <v>0</v>
      </c>
      <c r="Q244" s="147">
        <v>0</v>
      </c>
      <c r="R244" s="147">
        <v>0</v>
      </c>
      <c r="S244" s="147">
        <v>0</v>
      </c>
      <c r="T244" s="147">
        <v>0</v>
      </c>
      <c r="U244" s="147">
        <v>0</v>
      </c>
      <c r="V244" s="147">
        <v>0</v>
      </c>
      <c r="W244" s="149">
        <f t="shared" si="92"/>
        <v>149999926</v>
      </c>
    </row>
    <row r="245" spans="1:66" x14ac:dyDescent="0.2">
      <c r="A245" s="160">
        <v>1664</v>
      </c>
      <c r="B245" s="9" t="s">
        <v>296</v>
      </c>
      <c r="C245" s="8" t="s">
        <v>249</v>
      </c>
      <c r="D245" s="86">
        <v>2225223401</v>
      </c>
      <c r="E245" s="88">
        <v>0</v>
      </c>
      <c r="F245" s="88">
        <v>0</v>
      </c>
      <c r="G245" s="88">
        <v>0</v>
      </c>
      <c r="H245" s="88">
        <v>0</v>
      </c>
      <c r="I245" s="147">
        <f t="shared" si="91"/>
        <v>2225223401</v>
      </c>
      <c r="J245" s="147"/>
      <c r="K245" s="147"/>
      <c r="L245" s="147"/>
      <c r="M245" s="147"/>
      <c r="N245" s="147"/>
      <c r="O245" s="147"/>
      <c r="P245" s="147"/>
      <c r="Q245" s="147"/>
      <c r="R245" s="147"/>
      <c r="S245" s="147"/>
      <c r="T245" s="147"/>
      <c r="U245" s="147"/>
      <c r="V245" s="147"/>
      <c r="W245" s="149">
        <f t="shared" si="92"/>
        <v>2225223401</v>
      </c>
    </row>
    <row r="246" spans="1:66" s="32" customFormat="1" x14ac:dyDescent="0.2">
      <c r="A246" s="160"/>
      <c r="B246" s="33">
        <v>3</v>
      </c>
      <c r="C246" s="179" t="s">
        <v>46</v>
      </c>
      <c r="D246" s="87">
        <f>+D247+D249</f>
        <v>240173843.73000002</v>
      </c>
      <c r="E246" s="86">
        <v>0</v>
      </c>
      <c r="F246" s="86">
        <v>0</v>
      </c>
      <c r="G246" s="86">
        <v>0</v>
      </c>
      <c r="H246" s="86">
        <v>0</v>
      </c>
      <c r="I246" s="87">
        <f>+I247+I249</f>
        <v>240173843.73000002</v>
      </c>
      <c r="J246" s="73">
        <f>J247</f>
        <v>0</v>
      </c>
      <c r="K246" s="73">
        <f t="shared" ref="K246:V247" si="93">K247</f>
        <v>0</v>
      </c>
      <c r="L246" s="73">
        <f t="shared" si="93"/>
        <v>0</v>
      </c>
      <c r="M246" s="73">
        <f t="shared" si="93"/>
        <v>0</v>
      </c>
      <c r="N246" s="73">
        <f t="shared" si="93"/>
        <v>0</v>
      </c>
      <c r="O246" s="73">
        <f t="shared" si="93"/>
        <v>0</v>
      </c>
      <c r="P246" s="73">
        <f t="shared" si="93"/>
        <v>0</v>
      </c>
      <c r="Q246" s="73">
        <f t="shared" si="93"/>
        <v>0</v>
      </c>
      <c r="R246" s="73">
        <f t="shared" si="93"/>
        <v>0</v>
      </c>
      <c r="S246" s="73">
        <f t="shared" si="93"/>
        <v>0</v>
      </c>
      <c r="T246" s="73">
        <f t="shared" si="93"/>
        <v>0</v>
      </c>
      <c r="U246" s="73">
        <f t="shared" si="93"/>
        <v>0</v>
      </c>
      <c r="V246" s="73">
        <f t="shared" si="93"/>
        <v>0</v>
      </c>
      <c r="W246" s="64"/>
      <c r="X246" s="29"/>
      <c r="Y246" s="29"/>
      <c r="Z246" s="29"/>
      <c r="AA246" s="29"/>
      <c r="AB246" s="29"/>
      <c r="AC246" s="29"/>
      <c r="AD246" s="29"/>
      <c r="AE246" s="29"/>
      <c r="AF246" s="29"/>
      <c r="AG246" s="29"/>
      <c r="AH246" s="29"/>
      <c r="AI246" s="29"/>
      <c r="AJ246" s="29"/>
      <c r="AK246" s="29"/>
      <c r="AL246" s="29"/>
      <c r="AM246" s="29"/>
      <c r="AN246" s="29"/>
      <c r="AO246" s="29"/>
      <c r="AP246" s="29"/>
      <c r="AQ246" s="29"/>
      <c r="AR246" s="29"/>
      <c r="AS246" s="29"/>
      <c r="AT246" s="29"/>
      <c r="AU246" s="29"/>
      <c r="AV246" s="29"/>
      <c r="AW246" s="29"/>
      <c r="AX246" s="29"/>
      <c r="AY246" s="29"/>
      <c r="AZ246" s="29"/>
      <c r="BA246" s="29"/>
      <c r="BB246" s="29"/>
      <c r="BC246" s="29"/>
      <c r="BD246" s="29"/>
      <c r="BE246" s="29"/>
      <c r="BF246" s="29"/>
      <c r="BG246" s="29"/>
      <c r="BH246" s="29"/>
      <c r="BI246" s="29"/>
      <c r="BJ246" s="29"/>
      <c r="BK246" s="29"/>
      <c r="BL246" s="29"/>
      <c r="BM246" s="29"/>
      <c r="BN246" s="29"/>
    </row>
    <row r="247" spans="1:66" s="26" customFormat="1" x14ac:dyDescent="0.2">
      <c r="A247" s="157"/>
      <c r="B247" s="31"/>
      <c r="C247" s="178" t="s">
        <v>19</v>
      </c>
      <c r="D247" s="85">
        <f>SUM(D248:D248)</f>
        <v>0</v>
      </c>
      <c r="E247" s="85">
        <f>+E248</f>
        <v>0</v>
      </c>
      <c r="F247" s="85">
        <f>+F248</f>
        <v>0</v>
      </c>
      <c r="G247" s="85">
        <f>+G248</f>
        <v>0</v>
      </c>
      <c r="H247" s="85">
        <f>+H248</f>
        <v>0</v>
      </c>
      <c r="I247" s="85">
        <f>D247+E247-F247+G247-H247</f>
        <v>0</v>
      </c>
      <c r="J247" s="75">
        <f>J248</f>
        <v>0</v>
      </c>
      <c r="K247" s="75">
        <f t="shared" si="93"/>
        <v>0</v>
      </c>
      <c r="L247" s="75">
        <f t="shared" si="93"/>
        <v>0</v>
      </c>
      <c r="M247" s="75">
        <f t="shared" si="93"/>
        <v>0</v>
      </c>
      <c r="N247" s="75">
        <f t="shared" si="93"/>
        <v>0</v>
      </c>
      <c r="O247" s="75">
        <f t="shared" si="93"/>
        <v>0</v>
      </c>
      <c r="P247" s="75">
        <f t="shared" si="93"/>
        <v>0</v>
      </c>
      <c r="Q247" s="75">
        <f t="shared" si="93"/>
        <v>0</v>
      </c>
      <c r="R247" s="75">
        <f t="shared" si="93"/>
        <v>0</v>
      </c>
      <c r="S247" s="75">
        <f t="shared" si="93"/>
        <v>0</v>
      </c>
      <c r="T247" s="75">
        <f t="shared" si="93"/>
        <v>0</v>
      </c>
      <c r="U247" s="75">
        <f t="shared" si="93"/>
        <v>0</v>
      </c>
      <c r="V247" s="75">
        <f t="shared" si="93"/>
        <v>0</v>
      </c>
      <c r="W247" s="64"/>
    </row>
    <row r="248" spans="1:66" s="32" customFormat="1" x14ac:dyDescent="0.2">
      <c r="A248" s="160"/>
      <c r="B248" s="9"/>
      <c r="C248" s="180"/>
      <c r="D248" s="86">
        <v>0</v>
      </c>
      <c r="E248" s="86">
        <v>0</v>
      </c>
      <c r="F248" s="86">
        <v>0</v>
      </c>
      <c r="G248" s="86">
        <v>0</v>
      </c>
      <c r="H248" s="86">
        <v>0</v>
      </c>
      <c r="I248" s="86">
        <f>D248+E248-F248+G248-H248</f>
        <v>0</v>
      </c>
      <c r="J248" s="86"/>
      <c r="K248" s="86"/>
      <c r="L248" s="86"/>
      <c r="M248" s="86"/>
      <c r="N248" s="86"/>
      <c r="O248" s="86"/>
      <c r="P248" s="86"/>
      <c r="Q248" s="86"/>
      <c r="R248" s="86"/>
      <c r="S248" s="86"/>
      <c r="T248" s="86"/>
      <c r="U248" s="86"/>
      <c r="V248" s="86"/>
      <c r="W248" s="64"/>
      <c r="X248" s="29"/>
      <c r="Y248" s="29"/>
      <c r="Z248" s="29"/>
      <c r="AA248" s="29"/>
      <c r="AB248" s="29"/>
      <c r="AC248" s="29"/>
      <c r="AD248" s="29"/>
      <c r="AE248" s="29"/>
      <c r="AF248" s="29"/>
      <c r="AG248" s="29"/>
      <c r="AH248" s="29"/>
      <c r="AI248" s="29"/>
      <c r="AJ248" s="29"/>
      <c r="AK248" s="29"/>
      <c r="AL248" s="29"/>
      <c r="AM248" s="29"/>
      <c r="AN248" s="29"/>
      <c r="AO248" s="29"/>
      <c r="AP248" s="29"/>
      <c r="AQ248" s="29"/>
      <c r="AR248" s="29"/>
      <c r="AS248" s="29"/>
      <c r="AT248" s="29"/>
      <c r="AU248" s="29"/>
      <c r="AV248" s="29"/>
      <c r="AW248" s="29"/>
      <c r="AX248" s="29"/>
      <c r="AY248" s="29"/>
      <c r="AZ248" s="29"/>
      <c r="BA248" s="29"/>
      <c r="BB248" s="29"/>
      <c r="BC248" s="29"/>
      <c r="BD248" s="29"/>
      <c r="BE248" s="29"/>
      <c r="BF248" s="29"/>
      <c r="BG248" s="29"/>
      <c r="BH248" s="29"/>
      <c r="BI248" s="29"/>
      <c r="BJ248" s="29"/>
      <c r="BK248" s="29"/>
      <c r="BL248" s="29"/>
      <c r="BM248" s="29"/>
      <c r="BN248" s="29"/>
    </row>
    <row r="249" spans="1:66" s="34" customFormat="1" x14ac:dyDescent="0.2">
      <c r="A249" s="163"/>
      <c r="B249" s="31"/>
      <c r="C249" s="178" t="s">
        <v>20</v>
      </c>
      <c r="D249" s="85">
        <f>D250+D251+D252+D253+D254+D255+D256+D257+D258+D259</f>
        <v>240173843.73000002</v>
      </c>
      <c r="E249" s="85">
        <f t="shared" ref="E249:V249" si="94">E250+E251+E252+E253+E254+E255+E256+E257+E258+E259</f>
        <v>0</v>
      </c>
      <c r="F249" s="85">
        <f t="shared" si="94"/>
        <v>0</v>
      </c>
      <c r="G249" s="85">
        <f t="shared" si="94"/>
        <v>0</v>
      </c>
      <c r="H249" s="85">
        <f t="shared" si="94"/>
        <v>0</v>
      </c>
      <c r="I249" s="85">
        <f t="shared" si="94"/>
        <v>240173843.73000002</v>
      </c>
      <c r="J249" s="85">
        <f t="shared" si="94"/>
        <v>0</v>
      </c>
      <c r="K249" s="85">
        <f t="shared" ref="K249:V249" si="95">K250+K251+K252+K253+K254+K255+K256+K257+K258+K259</f>
        <v>0</v>
      </c>
      <c r="L249" s="85">
        <f t="shared" si="95"/>
        <v>0</v>
      </c>
      <c r="M249" s="85">
        <f t="shared" si="95"/>
        <v>0</v>
      </c>
      <c r="N249" s="85">
        <f t="shared" si="95"/>
        <v>0</v>
      </c>
      <c r="O249" s="85">
        <f t="shared" si="95"/>
        <v>0</v>
      </c>
      <c r="P249" s="85">
        <f t="shared" si="95"/>
        <v>0</v>
      </c>
      <c r="Q249" s="85">
        <f t="shared" si="95"/>
        <v>0</v>
      </c>
      <c r="R249" s="85">
        <f t="shared" si="95"/>
        <v>0</v>
      </c>
      <c r="S249" s="85">
        <f t="shared" si="95"/>
        <v>0</v>
      </c>
      <c r="T249" s="85">
        <f t="shared" si="95"/>
        <v>0</v>
      </c>
      <c r="U249" s="85">
        <f t="shared" si="95"/>
        <v>0</v>
      </c>
      <c r="V249" s="85">
        <f t="shared" si="95"/>
        <v>0</v>
      </c>
      <c r="W249" s="64"/>
      <c r="X249" s="26"/>
      <c r="Y249" s="26"/>
      <c r="Z249" s="26"/>
      <c r="AA249" s="26"/>
      <c r="AB249" s="26"/>
      <c r="AC249" s="26"/>
      <c r="AD249" s="26"/>
      <c r="AE249" s="26"/>
      <c r="AF249" s="26"/>
      <c r="AG249" s="26"/>
      <c r="AH249" s="26"/>
      <c r="AI249" s="26"/>
      <c r="AJ249" s="26"/>
      <c r="AK249" s="26"/>
      <c r="AL249" s="26"/>
      <c r="AM249" s="26"/>
      <c r="AN249" s="26"/>
      <c r="AO249" s="26"/>
      <c r="AP249" s="26"/>
      <c r="AQ249" s="26"/>
      <c r="AR249" s="26"/>
      <c r="AS249" s="26"/>
      <c r="AT249" s="26"/>
      <c r="AU249" s="26"/>
      <c r="AV249" s="26"/>
      <c r="AW249" s="26"/>
      <c r="AX249" s="26"/>
      <c r="AY249" s="26"/>
      <c r="AZ249" s="26"/>
      <c r="BA249" s="26"/>
      <c r="BB249" s="26"/>
      <c r="BC249" s="26"/>
      <c r="BD249" s="26"/>
      <c r="BE249" s="26"/>
      <c r="BF249" s="26"/>
      <c r="BG249" s="26"/>
      <c r="BH249" s="26"/>
      <c r="BI249" s="26"/>
      <c r="BJ249" s="26"/>
      <c r="BK249" s="26"/>
      <c r="BL249" s="26"/>
      <c r="BM249" s="26"/>
      <c r="BN249" s="26"/>
    </row>
    <row r="250" spans="1:66" s="32" customFormat="1" ht="38.25" x14ac:dyDescent="0.2">
      <c r="A250" s="160" t="s">
        <v>238</v>
      </c>
      <c r="B250" s="9" t="s">
        <v>237</v>
      </c>
      <c r="C250" s="180" t="s">
        <v>107</v>
      </c>
      <c r="D250" s="86">
        <v>6143248.1600000001</v>
      </c>
      <c r="E250" s="86">
        <v>0</v>
      </c>
      <c r="F250" s="86">
        <v>0</v>
      </c>
      <c r="G250" s="86">
        <v>0</v>
      </c>
      <c r="H250" s="86">
        <v>0</v>
      </c>
      <c r="I250" s="86">
        <f>D250+E250-F250+G250-H250</f>
        <v>6143248.1600000001</v>
      </c>
      <c r="J250" s="86">
        <v>0</v>
      </c>
      <c r="K250" s="86">
        <v>0</v>
      </c>
      <c r="L250" s="86">
        <v>0</v>
      </c>
      <c r="M250" s="86">
        <v>0</v>
      </c>
      <c r="N250" s="86">
        <v>0</v>
      </c>
      <c r="O250" s="86">
        <v>0</v>
      </c>
      <c r="P250" s="86">
        <v>0</v>
      </c>
      <c r="Q250" s="86">
        <v>0</v>
      </c>
      <c r="R250" s="86">
        <v>0</v>
      </c>
      <c r="S250" s="86">
        <v>0</v>
      </c>
      <c r="T250" s="86">
        <v>0</v>
      </c>
      <c r="U250" s="86">
        <v>0</v>
      </c>
      <c r="V250" s="86">
        <v>0</v>
      </c>
      <c r="W250" s="64"/>
      <c r="X250" s="29"/>
      <c r="Y250" s="29"/>
      <c r="Z250" s="29"/>
      <c r="AA250" s="29"/>
      <c r="AB250" s="29"/>
      <c r="AC250" s="29"/>
      <c r="AD250" s="29"/>
      <c r="AE250" s="29"/>
      <c r="AF250" s="29"/>
      <c r="AG250" s="29"/>
      <c r="AH250" s="29"/>
      <c r="AI250" s="29"/>
      <c r="AJ250" s="29"/>
      <c r="AK250" s="29"/>
      <c r="AL250" s="29"/>
      <c r="AM250" s="29"/>
      <c r="AN250" s="29"/>
      <c r="AO250" s="29"/>
      <c r="AP250" s="29"/>
      <c r="AQ250" s="29"/>
      <c r="AR250" s="29"/>
      <c r="AS250" s="29"/>
      <c r="AT250" s="29"/>
      <c r="AU250" s="29"/>
      <c r="AV250" s="29"/>
      <c r="AW250" s="29"/>
      <c r="AX250" s="29"/>
      <c r="AY250" s="29"/>
      <c r="AZ250" s="29"/>
      <c r="BA250" s="29"/>
      <c r="BB250" s="29"/>
      <c r="BC250" s="29"/>
      <c r="BD250" s="29"/>
      <c r="BE250" s="29"/>
      <c r="BF250" s="29"/>
      <c r="BG250" s="29"/>
      <c r="BH250" s="29"/>
      <c r="BI250" s="29"/>
      <c r="BJ250" s="29"/>
      <c r="BK250" s="29"/>
      <c r="BL250" s="29"/>
      <c r="BM250" s="29"/>
      <c r="BN250" s="29"/>
    </row>
    <row r="251" spans="1:66" s="32" customFormat="1" ht="38.25" x14ac:dyDescent="0.2">
      <c r="A251" s="160" t="s">
        <v>239</v>
      </c>
      <c r="B251" s="9" t="s">
        <v>231</v>
      </c>
      <c r="C251" s="180" t="s">
        <v>107</v>
      </c>
      <c r="D251" s="86">
        <v>86678343.989999995</v>
      </c>
      <c r="E251" s="86">
        <v>0</v>
      </c>
      <c r="F251" s="86">
        <v>0</v>
      </c>
      <c r="G251" s="86">
        <v>0</v>
      </c>
      <c r="H251" s="86">
        <v>0</v>
      </c>
      <c r="I251" s="86">
        <f t="shared" ref="I251:I259" si="96">D251+E251-F251+G251-H251</f>
        <v>86678343.989999995</v>
      </c>
      <c r="J251" s="86">
        <v>0</v>
      </c>
      <c r="K251" s="86">
        <v>0</v>
      </c>
      <c r="L251" s="86">
        <v>0</v>
      </c>
      <c r="M251" s="86">
        <v>0</v>
      </c>
      <c r="N251" s="86">
        <v>0</v>
      </c>
      <c r="O251" s="86">
        <v>0</v>
      </c>
      <c r="P251" s="86">
        <v>0</v>
      </c>
      <c r="Q251" s="86">
        <v>0</v>
      </c>
      <c r="R251" s="86">
        <v>0</v>
      </c>
      <c r="S251" s="86">
        <v>0</v>
      </c>
      <c r="T251" s="86">
        <v>0</v>
      </c>
      <c r="U251" s="86">
        <v>0</v>
      </c>
      <c r="V251" s="86">
        <v>0</v>
      </c>
      <c r="W251" s="64"/>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c r="AT251" s="29"/>
      <c r="AU251" s="29"/>
      <c r="AV251" s="29"/>
      <c r="AW251" s="29"/>
      <c r="AX251" s="29"/>
      <c r="AY251" s="29"/>
      <c r="AZ251" s="29"/>
      <c r="BA251" s="29"/>
      <c r="BB251" s="29"/>
      <c r="BC251" s="29"/>
      <c r="BD251" s="29"/>
      <c r="BE251" s="29"/>
      <c r="BF251" s="29"/>
      <c r="BG251" s="29"/>
      <c r="BH251" s="29"/>
      <c r="BI251" s="29"/>
      <c r="BJ251" s="29"/>
      <c r="BK251" s="29"/>
      <c r="BL251" s="29"/>
      <c r="BM251" s="29"/>
      <c r="BN251" s="29"/>
    </row>
    <row r="252" spans="1:66" s="32" customFormat="1" ht="38.25" x14ac:dyDescent="0.2">
      <c r="A252" s="160" t="s">
        <v>240</v>
      </c>
      <c r="B252" s="9" t="s">
        <v>232</v>
      </c>
      <c r="C252" s="8" t="s">
        <v>233</v>
      </c>
      <c r="D252" s="86">
        <v>2497252.38</v>
      </c>
      <c r="E252" s="86"/>
      <c r="F252" s="86"/>
      <c r="G252" s="86"/>
      <c r="H252" s="86"/>
      <c r="I252" s="86">
        <f t="shared" si="96"/>
        <v>2497252.38</v>
      </c>
      <c r="J252" s="86">
        <v>0</v>
      </c>
      <c r="K252" s="86">
        <v>0</v>
      </c>
      <c r="L252" s="86">
        <v>0</v>
      </c>
      <c r="M252" s="86">
        <v>0</v>
      </c>
      <c r="N252" s="86">
        <v>0</v>
      </c>
      <c r="O252" s="86">
        <v>0</v>
      </c>
      <c r="P252" s="86">
        <v>0</v>
      </c>
      <c r="Q252" s="86">
        <v>0</v>
      </c>
      <c r="R252" s="86">
        <v>0</v>
      </c>
      <c r="S252" s="86">
        <v>0</v>
      </c>
      <c r="T252" s="86">
        <v>0</v>
      </c>
      <c r="U252" s="86">
        <v>0</v>
      </c>
      <c r="V252" s="86">
        <v>0</v>
      </c>
      <c r="W252" s="64"/>
      <c r="X252" s="29"/>
      <c r="Y252" s="29"/>
      <c r="Z252" s="29"/>
      <c r="AA252" s="29"/>
      <c r="AB252" s="29"/>
      <c r="AC252" s="29"/>
      <c r="AD252" s="29"/>
      <c r="AE252" s="29"/>
      <c r="AF252" s="29"/>
      <c r="AG252" s="29"/>
      <c r="AH252" s="29"/>
      <c r="AI252" s="29"/>
      <c r="AJ252" s="29"/>
      <c r="AK252" s="29"/>
      <c r="AL252" s="29"/>
      <c r="AM252" s="29"/>
      <c r="AN252" s="29"/>
      <c r="AO252" s="29"/>
      <c r="AP252" s="29"/>
      <c r="AQ252" s="29"/>
      <c r="AR252" s="29"/>
      <c r="AS252" s="29"/>
      <c r="AT252" s="29"/>
      <c r="AU252" s="29"/>
      <c r="AV252" s="29"/>
      <c r="AW252" s="29"/>
      <c r="AX252" s="29"/>
      <c r="AY252" s="29"/>
      <c r="AZ252" s="29"/>
      <c r="BA252" s="29"/>
      <c r="BB252" s="29"/>
      <c r="BC252" s="29"/>
      <c r="BD252" s="29"/>
      <c r="BE252" s="29"/>
      <c r="BF252" s="29"/>
      <c r="BG252" s="29"/>
      <c r="BH252" s="29"/>
      <c r="BI252" s="29"/>
      <c r="BJ252" s="29"/>
      <c r="BK252" s="29"/>
      <c r="BL252" s="29"/>
      <c r="BM252" s="29"/>
      <c r="BN252" s="29"/>
    </row>
    <row r="253" spans="1:66" s="32" customFormat="1" ht="38.25" x14ac:dyDescent="0.2">
      <c r="A253" s="160" t="s">
        <v>241</v>
      </c>
      <c r="B253" s="9" t="s">
        <v>234</v>
      </c>
      <c r="C253" s="8" t="s">
        <v>233</v>
      </c>
      <c r="D253" s="86">
        <v>61550904.630000003</v>
      </c>
      <c r="E253" s="86"/>
      <c r="F253" s="86"/>
      <c r="G253" s="86"/>
      <c r="H253" s="86"/>
      <c r="I253" s="86">
        <f t="shared" si="96"/>
        <v>61550904.630000003</v>
      </c>
      <c r="J253" s="86">
        <v>0</v>
      </c>
      <c r="K253" s="86">
        <v>0</v>
      </c>
      <c r="L253" s="86">
        <v>0</v>
      </c>
      <c r="M253" s="86">
        <v>0</v>
      </c>
      <c r="N253" s="86">
        <v>0</v>
      </c>
      <c r="O253" s="86">
        <v>0</v>
      </c>
      <c r="P253" s="86">
        <v>0</v>
      </c>
      <c r="Q253" s="86">
        <v>0</v>
      </c>
      <c r="R253" s="86">
        <v>0</v>
      </c>
      <c r="S253" s="86">
        <v>0</v>
      </c>
      <c r="T253" s="86">
        <v>0</v>
      </c>
      <c r="U253" s="86">
        <v>0</v>
      </c>
      <c r="V253" s="86">
        <v>0</v>
      </c>
      <c r="W253" s="64"/>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c r="AT253" s="29"/>
      <c r="AU253" s="29"/>
      <c r="AV253" s="29"/>
      <c r="AW253" s="29"/>
      <c r="AX253" s="29"/>
      <c r="AY253" s="29"/>
      <c r="AZ253" s="29"/>
      <c r="BA253" s="29"/>
      <c r="BB253" s="29"/>
      <c r="BC253" s="29"/>
      <c r="BD253" s="29"/>
      <c r="BE253" s="29"/>
      <c r="BF253" s="29"/>
      <c r="BG253" s="29"/>
      <c r="BH253" s="29"/>
      <c r="BI253" s="29"/>
      <c r="BJ253" s="29"/>
      <c r="BK253" s="29"/>
      <c r="BL253" s="29"/>
      <c r="BM253" s="29"/>
      <c r="BN253" s="29"/>
    </row>
    <row r="254" spans="1:66" s="32" customFormat="1" ht="38.25" x14ac:dyDescent="0.2">
      <c r="A254" s="160" t="s">
        <v>242</v>
      </c>
      <c r="B254" s="9" t="s">
        <v>234</v>
      </c>
      <c r="C254" s="8" t="s">
        <v>233</v>
      </c>
      <c r="D254" s="86">
        <v>2211404.9700000002</v>
      </c>
      <c r="E254" s="86"/>
      <c r="F254" s="86"/>
      <c r="G254" s="86"/>
      <c r="H254" s="86"/>
      <c r="I254" s="86">
        <f t="shared" si="96"/>
        <v>2211404.9700000002</v>
      </c>
      <c r="J254" s="86">
        <v>0</v>
      </c>
      <c r="K254" s="86">
        <v>0</v>
      </c>
      <c r="L254" s="86">
        <v>0</v>
      </c>
      <c r="M254" s="86">
        <v>0</v>
      </c>
      <c r="N254" s="86">
        <v>0</v>
      </c>
      <c r="O254" s="86">
        <v>0</v>
      </c>
      <c r="P254" s="86">
        <v>0</v>
      </c>
      <c r="Q254" s="86">
        <v>0</v>
      </c>
      <c r="R254" s="86">
        <v>0</v>
      </c>
      <c r="S254" s="86">
        <v>0</v>
      </c>
      <c r="T254" s="86">
        <v>0</v>
      </c>
      <c r="U254" s="86">
        <v>0</v>
      </c>
      <c r="V254" s="86">
        <v>0</v>
      </c>
      <c r="W254" s="64"/>
      <c r="X254" s="29"/>
      <c r="Y254" s="29"/>
      <c r="Z254" s="29"/>
      <c r="AA254" s="29"/>
      <c r="AB254" s="29"/>
      <c r="AC254" s="29"/>
      <c r="AD254" s="29"/>
      <c r="AE254" s="29"/>
      <c r="AF254" s="29"/>
      <c r="AG254" s="29"/>
      <c r="AH254" s="29"/>
      <c r="AI254" s="29"/>
      <c r="AJ254" s="29"/>
      <c r="AK254" s="29"/>
      <c r="AL254" s="29"/>
      <c r="AM254" s="29"/>
      <c r="AN254" s="29"/>
      <c r="AO254" s="29"/>
      <c r="AP254" s="29"/>
      <c r="AQ254" s="29"/>
      <c r="AR254" s="29"/>
      <c r="AS254" s="29"/>
      <c r="AT254" s="29"/>
      <c r="AU254" s="29"/>
      <c r="AV254" s="29"/>
      <c r="AW254" s="29"/>
      <c r="AX254" s="29"/>
      <c r="AY254" s="29"/>
      <c r="AZ254" s="29"/>
      <c r="BA254" s="29"/>
      <c r="BB254" s="29"/>
      <c r="BC254" s="29"/>
      <c r="BD254" s="29"/>
      <c r="BE254" s="29"/>
      <c r="BF254" s="29"/>
      <c r="BG254" s="29"/>
      <c r="BH254" s="29"/>
      <c r="BI254" s="29"/>
      <c r="BJ254" s="29"/>
      <c r="BK254" s="29"/>
      <c r="BL254" s="29"/>
      <c r="BM254" s="29"/>
      <c r="BN254" s="29"/>
    </row>
    <row r="255" spans="1:66" s="32" customFormat="1" ht="38.25" x14ac:dyDescent="0.2">
      <c r="A255" s="160" t="s">
        <v>243</v>
      </c>
      <c r="B255" s="9" t="s">
        <v>235</v>
      </c>
      <c r="C255" s="8" t="s">
        <v>233</v>
      </c>
      <c r="D255" s="86">
        <v>36254640.240000002</v>
      </c>
      <c r="E255" s="86"/>
      <c r="F255" s="86"/>
      <c r="G255" s="86"/>
      <c r="H255" s="86"/>
      <c r="I255" s="86">
        <f t="shared" si="96"/>
        <v>36254640.240000002</v>
      </c>
      <c r="J255" s="86">
        <v>0</v>
      </c>
      <c r="K255" s="86">
        <v>0</v>
      </c>
      <c r="L255" s="86">
        <v>0</v>
      </c>
      <c r="M255" s="86">
        <v>0</v>
      </c>
      <c r="N255" s="86">
        <v>0</v>
      </c>
      <c r="O255" s="86">
        <v>0</v>
      </c>
      <c r="P255" s="86">
        <v>0</v>
      </c>
      <c r="Q255" s="86">
        <v>0</v>
      </c>
      <c r="R255" s="86">
        <v>0</v>
      </c>
      <c r="S255" s="86">
        <v>0</v>
      </c>
      <c r="T255" s="86">
        <v>0</v>
      </c>
      <c r="U255" s="86">
        <v>0</v>
      </c>
      <c r="V255" s="86">
        <v>0</v>
      </c>
      <c r="W255" s="64"/>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c r="AT255" s="29"/>
      <c r="AU255" s="29"/>
      <c r="AV255" s="29"/>
      <c r="AW255" s="29"/>
      <c r="AX255" s="29"/>
      <c r="AY255" s="29"/>
      <c r="AZ255" s="29"/>
      <c r="BA255" s="29"/>
      <c r="BB255" s="29"/>
      <c r="BC255" s="29"/>
      <c r="BD255" s="29"/>
      <c r="BE255" s="29"/>
      <c r="BF255" s="29"/>
      <c r="BG255" s="29"/>
      <c r="BH255" s="29"/>
      <c r="BI255" s="29"/>
      <c r="BJ255" s="29"/>
      <c r="BK255" s="29"/>
      <c r="BL255" s="29"/>
      <c r="BM255" s="29"/>
      <c r="BN255" s="29"/>
    </row>
    <row r="256" spans="1:66" s="32" customFormat="1" ht="38.25" x14ac:dyDescent="0.2">
      <c r="A256" s="160" t="s">
        <v>244</v>
      </c>
      <c r="B256" s="9" t="s">
        <v>236</v>
      </c>
      <c r="C256" s="8" t="s">
        <v>233</v>
      </c>
      <c r="D256" s="86">
        <v>39004339.359999999</v>
      </c>
      <c r="E256" s="86"/>
      <c r="F256" s="86"/>
      <c r="G256" s="86"/>
      <c r="H256" s="86"/>
      <c r="I256" s="86">
        <f t="shared" si="96"/>
        <v>39004339.359999999</v>
      </c>
      <c r="J256" s="86">
        <v>0</v>
      </c>
      <c r="K256" s="86">
        <v>0</v>
      </c>
      <c r="L256" s="86">
        <v>0</v>
      </c>
      <c r="M256" s="86">
        <v>0</v>
      </c>
      <c r="N256" s="86">
        <v>0</v>
      </c>
      <c r="O256" s="86">
        <v>0</v>
      </c>
      <c r="P256" s="86">
        <v>0</v>
      </c>
      <c r="Q256" s="86">
        <v>0</v>
      </c>
      <c r="R256" s="86">
        <v>0</v>
      </c>
      <c r="S256" s="86">
        <v>0</v>
      </c>
      <c r="T256" s="86">
        <v>0</v>
      </c>
      <c r="U256" s="86">
        <v>0</v>
      </c>
      <c r="V256" s="86">
        <v>0</v>
      </c>
      <c r="W256" s="64"/>
      <c r="X256" s="29"/>
      <c r="Y256" s="29"/>
      <c r="Z256" s="29"/>
      <c r="AA256" s="29"/>
      <c r="AB256" s="29"/>
      <c r="AC256" s="29"/>
      <c r="AD256" s="29"/>
      <c r="AE256" s="29"/>
      <c r="AF256" s="29"/>
      <c r="AG256" s="29"/>
      <c r="AH256" s="29"/>
      <c r="AI256" s="29"/>
      <c r="AJ256" s="29"/>
      <c r="AK256" s="29"/>
      <c r="AL256" s="29"/>
      <c r="AM256" s="29"/>
      <c r="AN256" s="29"/>
      <c r="AO256" s="29"/>
      <c r="AP256" s="29"/>
      <c r="AQ256" s="29"/>
      <c r="AR256" s="29"/>
      <c r="AS256" s="29"/>
      <c r="AT256" s="29"/>
      <c r="AU256" s="29"/>
      <c r="AV256" s="29"/>
      <c r="AW256" s="29"/>
      <c r="AX256" s="29"/>
      <c r="AY256" s="29"/>
      <c r="AZ256" s="29"/>
      <c r="BA256" s="29"/>
      <c r="BB256" s="29"/>
      <c r="BC256" s="29"/>
      <c r="BD256" s="29"/>
      <c r="BE256" s="29"/>
      <c r="BF256" s="29"/>
      <c r="BG256" s="29"/>
      <c r="BH256" s="29"/>
      <c r="BI256" s="29"/>
      <c r="BJ256" s="29"/>
      <c r="BK256" s="29"/>
      <c r="BL256" s="29"/>
      <c r="BM256" s="29"/>
      <c r="BN256" s="29"/>
    </row>
    <row r="257" spans="1:66" s="32" customFormat="1" ht="38.25" x14ac:dyDescent="0.2">
      <c r="A257" s="160" t="s">
        <v>245</v>
      </c>
      <c r="B257" s="9" t="s">
        <v>234</v>
      </c>
      <c r="C257" s="8" t="s">
        <v>233</v>
      </c>
      <c r="D257" s="86">
        <v>3522240</v>
      </c>
      <c r="E257" s="86"/>
      <c r="F257" s="86"/>
      <c r="G257" s="86"/>
      <c r="H257" s="86"/>
      <c r="I257" s="86">
        <f t="shared" si="96"/>
        <v>3522240</v>
      </c>
      <c r="J257" s="86">
        <v>0</v>
      </c>
      <c r="K257" s="86">
        <v>0</v>
      </c>
      <c r="L257" s="86">
        <v>0</v>
      </c>
      <c r="M257" s="86">
        <v>0</v>
      </c>
      <c r="N257" s="86">
        <v>0</v>
      </c>
      <c r="O257" s="86">
        <v>0</v>
      </c>
      <c r="P257" s="86">
        <v>0</v>
      </c>
      <c r="Q257" s="86">
        <v>0</v>
      </c>
      <c r="R257" s="86">
        <v>0</v>
      </c>
      <c r="S257" s="86">
        <v>0</v>
      </c>
      <c r="T257" s="86">
        <v>0</v>
      </c>
      <c r="U257" s="86">
        <v>0</v>
      </c>
      <c r="V257" s="86">
        <v>0</v>
      </c>
      <c r="W257" s="64"/>
      <c r="X257" s="29"/>
      <c r="Y257" s="29"/>
      <c r="Z257" s="29"/>
      <c r="AA257" s="29"/>
      <c r="AB257" s="29"/>
      <c r="AC257" s="29"/>
      <c r="AD257" s="29"/>
      <c r="AE257" s="29"/>
      <c r="AF257" s="29"/>
      <c r="AG257" s="29"/>
      <c r="AH257" s="29"/>
      <c r="AI257" s="29"/>
      <c r="AJ257" s="29"/>
      <c r="AK257" s="29"/>
      <c r="AL257" s="29"/>
      <c r="AM257" s="29"/>
      <c r="AN257" s="29"/>
      <c r="AO257" s="29"/>
      <c r="AP257" s="29"/>
      <c r="AQ257" s="29"/>
      <c r="AR257" s="29"/>
      <c r="AS257" s="29"/>
      <c r="AT257" s="29"/>
      <c r="AU257" s="29"/>
      <c r="AV257" s="29"/>
      <c r="AW257" s="29"/>
      <c r="AX257" s="29"/>
      <c r="AY257" s="29"/>
      <c r="AZ257" s="29"/>
      <c r="BA257" s="29"/>
      <c r="BB257" s="29"/>
      <c r="BC257" s="29"/>
      <c r="BD257" s="29"/>
      <c r="BE257" s="29"/>
      <c r="BF257" s="29"/>
      <c r="BG257" s="29"/>
      <c r="BH257" s="29"/>
      <c r="BI257" s="29"/>
      <c r="BJ257" s="29"/>
      <c r="BK257" s="29"/>
      <c r="BL257" s="29"/>
      <c r="BM257" s="29"/>
      <c r="BN257" s="29"/>
    </row>
    <row r="258" spans="1:66" s="32" customFormat="1" ht="38.25" x14ac:dyDescent="0.2">
      <c r="A258" s="160" t="s">
        <v>246</v>
      </c>
      <c r="B258" s="9" t="s">
        <v>234</v>
      </c>
      <c r="C258" s="8" t="s">
        <v>233</v>
      </c>
      <c r="D258" s="86">
        <v>891070</v>
      </c>
      <c r="E258" s="86"/>
      <c r="F258" s="86"/>
      <c r="G258" s="86"/>
      <c r="H258" s="86"/>
      <c r="I258" s="86">
        <f t="shared" si="96"/>
        <v>891070</v>
      </c>
      <c r="J258" s="86">
        <v>0</v>
      </c>
      <c r="K258" s="86">
        <v>0</v>
      </c>
      <c r="L258" s="86">
        <v>0</v>
      </c>
      <c r="M258" s="86">
        <v>0</v>
      </c>
      <c r="N258" s="86">
        <v>0</v>
      </c>
      <c r="O258" s="86">
        <v>0</v>
      </c>
      <c r="P258" s="86">
        <v>0</v>
      </c>
      <c r="Q258" s="86">
        <v>0</v>
      </c>
      <c r="R258" s="86">
        <v>0</v>
      </c>
      <c r="S258" s="86">
        <v>0</v>
      </c>
      <c r="T258" s="86">
        <v>0</v>
      </c>
      <c r="U258" s="86">
        <v>0</v>
      </c>
      <c r="V258" s="86">
        <v>0</v>
      </c>
      <c r="W258" s="64"/>
      <c r="X258" s="29"/>
      <c r="Y258" s="29"/>
      <c r="Z258" s="29"/>
      <c r="AA258" s="29"/>
      <c r="AB258" s="29"/>
      <c r="AC258" s="29"/>
      <c r="AD258" s="29"/>
      <c r="AE258" s="29"/>
      <c r="AF258" s="29"/>
      <c r="AG258" s="29"/>
      <c r="AH258" s="29"/>
      <c r="AI258" s="29"/>
      <c r="AJ258" s="29"/>
      <c r="AK258" s="29"/>
      <c r="AL258" s="29"/>
      <c r="AM258" s="29"/>
      <c r="AN258" s="29"/>
      <c r="AO258" s="29"/>
      <c r="AP258" s="29"/>
      <c r="AQ258" s="29"/>
      <c r="AR258" s="29"/>
      <c r="AS258" s="29"/>
      <c r="AT258" s="29"/>
      <c r="AU258" s="29"/>
      <c r="AV258" s="29"/>
      <c r="AW258" s="29"/>
      <c r="AX258" s="29"/>
      <c r="AY258" s="29"/>
      <c r="AZ258" s="29"/>
      <c r="BA258" s="29"/>
      <c r="BB258" s="29"/>
      <c r="BC258" s="29"/>
      <c r="BD258" s="29"/>
      <c r="BE258" s="29"/>
      <c r="BF258" s="29"/>
      <c r="BG258" s="29"/>
      <c r="BH258" s="29"/>
      <c r="BI258" s="29"/>
      <c r="BJ258" s="29"/>
      <c r="BK258" s="29"/>
      <c r="BL258" s="29"/>
      <c r="BM258" s="29"/>
      <c r="BN258" s="29"/>
    </row>
    <row r="259" spans="1:66" s="32" customFormat="1" ht="38.25" x14ac:dyDescent="0.2">
      <c r="A259" s="160" t="s">
        <v>247</v>
      </c>
      <c r="B259" s="9" t="s">
        <v>234</v>
      </c>
      <c r="C259" s="8" t="s">
        <v>233</v>
      </c>
      <c r="D259" s="86">
        <v>1420400</v>
      </c>
      <c r="E259" s="86"/>
      <c r="F259" s="86"/>
      <c r="G259" s="86"/>
      <c r="H259" s="86"/>
      <c r="I259" s="86">
        <f t="shared" si="96"/>
        <v>1420400</v>
      </c>
      <c r="J259" s="86">
        <v>0</v>
      </c>
      <c r="K259" s="86">
        <v>0</v>
      </c>
      <c r="L259" s="86">
        <v>0</v>
      </c>
      <c r="M259" s="86">
        <v>0</v>
      </c>
      <c r="N259" s="86">
        <v>0</v>
      </c>
      <c r="O259" s="86">
        <v>0</v>
      </c>
      <c r="P259" s="86">
        <v>0</v>
      </c>
      <c r="Q259" s="86">
        <v>0</v>
      </c>
      <c r="R259" s="86">
        <v>0</v>
      </c>
      <c r="S259" s="86">
        <v>0</v>
      </c>
      <c r="T259" s="86">
        <v>0</v>
      </c>
      <c r="U259" s="86">
        <v>0</v>
      </c>
      <c r="V259" s="86">
        <v>0</v>
      </c>
      <c r="W259" s="64"/>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c r="AV259" s="29"/>
      <c r="AW259" s="29"/>
      <c r="AX259" s="29"/>
      <c r="AY259" s="29"/>
      <c r="AZ259" s="29"/>
      <c r="BA259" s="29"/>
      <c r="BB259" s="29"/>
      <c r="BC259" s="29"/>
      <c r="BD259" s="29"/>
      <c r="BE259" s="29"/>
      <c r="BF259" s="29"/>
      <c r="BG259" s="29"/>
      <c r="BH259" s="29"/>
      <c r="BI259" s="29"/>
      <c r="BJ259" s="29"/>
      <c r="BK259" s="29"/>
      <c r="BL259" s="29"/>
      <c r="BM259" s="29"/>
      <c r="BN259" s="29"/>
    </row>
    <row r="260" spans="1:66" x14ac:dyDescent="0.2">
      <c r="B260" s="36" t="s">
        <v>35</v>
      </c>
      <c r="C260" s="181" t="s">
        <v>39</v>
      </c>
      <c r="D260" s="89">
        <f>+D29+D113+D246</f>
        <v>198437358989.31216</v>
      </c>
      <c r="E260" s="89">
        <f t="shared" ref="E260:J260" si="97">+E29+E113+E246</f>
        <v>0</v>
      </c>
      <c r="F260" s="89">
        <f t="shared" si="97"/>
        <v>0</v>
      </c>
      <c r="G260" s="89">
        <f t="shared" si="97"/>
        <v>0</v>
      </c>
      <c r="H260" s="89">
        <f t="shared" si="97"/>
        <v>0</v>
      </c>
      <c r="I260" s="89">
        <f t="shared" si="97"/>
        <v>198437358989.31216</v>
      </c>
      <c r="J260" s="89">
        <f t="shared" si="97"/>
        <v>0</v>
      </c>
      <c r="K260" s="89">
        <f t="shared" ref="K260:V260" si="98">+K29+K113+K246</f>
        <v>0</v>
      </c>
      <c r="L260" s="89">
        <f t="shared" si="98"/>
        <v>0</v>
      </c>
      <c r="M260" s="89">
        <f t="shared" si="98"/>
        <v>0</v>
      </c>
      <c r="N260" s="89">
        <f t="shared" si="98"/>
        <v>0</v>
      </c>
      <c r="O260" s="89">
        <f t="shared" si="98"/>
        <v>0</v>
      </c>
      <c r="P260" s="89">
        <f t="shared" si="98"/>
        <v>0</v>
      </c>
      <c r="Q260" s="89">
        <f t="shared" si="98"/>
        <v>0</v>
      </c>
      <c r="R260" s="89">
        <f t="shared" si="98"/>
        <v>0</v>
      </c>
      <c r="S260" s="89">
        <f t="shared" si="98"/>
        <v>0</v>
      </c>
      <c r="T260" s="89">
        <f t="shared" si="98"/>
        <v>0</v>
      </c>
      <c r="U260" s="89">
        <f t="shared" si="98"/>
        <v>0</v>
      </c>
      <c r="V260" s="89">
        <f t="shared" si="98"/>
        <v>0</v>
      </c>
      <c r="W260" s="64"/>
    </row>
    <row r="261" spans="1:66" x14ac:dyDescent="0.2">
      <c r="B261" s="37"/>
      <c r="C261" s="182" t="s">
        <v>36</v>
      </c>
      <c r="D261" s="90">
        <f>+D28-D260</f>
        <v>-5886170880.8021545</v>
      </c>
      <c r="E261" s="90">
        <f t="shared" ref="E261:J261" si="99">+E28-E260</f>
        <v>0</v>
      </c>
      <c r="F261" s="90">
        <f t="shared" si="99"/>
        <v>0</v>
      </c>
      <c r="G261" s="90">
        <f t="shared" si="99"/>
        <v>0</v>
      </c>
      <c r="H261" s="90">
        <f t="shared" si="99"/>
        <v>0</v>
      </c>
      <c r="I261" s="90">
        <f t="shared" si="99"/>
        <v>-5886170880.8021545</v>
      </c>
      <c r="J261" s="90">
        <f t="shared" si="99"/>
        <v>0</v>
      </c>
      <c r="K261" s="90">
        <f t="shared" ref="K261" si="100">+K28-K260</f>
        <v>0</v>
      </c>
      <c r="L261" s="90">
        <f t="shared" ref="L261" si="101">+L28-L260</f>
        <v>0</v>
      </c>
      <c r="M261" s="90">
        <f t="shared" ref="M261" si="102">+M28-M260</f>
        <v>0</v>
      </c>
      <c r="N261" s="90">
        <f t="shared" ref="N261" si="103">+N28-N260</f>
        <v>0</v>
      </c>
      <c r="O261" s="90">
        <f t="shared" ref="O261" si="104">+O28-O260</f>
        <v>0</v>
      </c>
      <c r="P261" s="90">
        <f t="shared" ref="P261" si="105">+P28-P260</f>
        <v>0</v>
      </c>
      <c r="Q261" s="90">
        <f t="shared" ref="Q261" si="106">+Q28-Q260</f>
        <v>0</v>
      </c>
      <c r="R261" s="90">
        <f t="shared" ref="R261" si="107">+R28-R260</f>
        <v>0</v>
      </c>
      <c r="S261" s="90">
        <f t="shared" ref="S261" si="108">+S28-S260</f>
        <v>0</v>
      </c>
      <c r="T261" s="90">
        <f t="shared" ref="T261" si="109">+T28-T260</f>
        <v>0</v>
      </c>
      <c r="U261" s="90">
        <f t="shared" ref="U261" si="110">+U28-U260</f>
        <v>0</v>
      </c>
      <c r="V261" s="90">
        <f t="shared" ref="V261" si="111">+V28-V260</f>
        <v>0</v>
      </c>
      <c r="W261" s="64"/>
    </row>
    <row r="265" spans="1:66" ht="15.75" x14ac:dyDescent="0.2">
      <c r="E265" s="64"/>
      <c r="F265" s="64"/>
      <c r="G265" s="126"/>
      <c r="H265" s="64"/>
      <c r="I265" s="119"/>
    </row>
    <row r="266" spans="1:66" ht="14.25" x14ac:dyDescent="0.2">
      <c r="E266" s="64"/>
      <c r="F266" s="64"/>
      <c r="G266" s="127"/>
      <c r="H266" s="64"/>
      <c r="I266" s="119"/>
    </row>
    <row r="267" spans="1:66" s="38" customFormat="1" ht="15" x14ac:dyDescent="0.2">
      <c r="A267" s="164"/>
      <c r="C267" s="184" t="s">
        <v>158</v>
      </c>
      <c r="D267" s="115"/>
      <c r="E267" s="116"/>
      <c r="F267" s="116"/>
      <c r="G267" s="116"/>
      <c r="H267" s="116"/>
      <c r="I267" s="120"/>
      <c r="J267" s="115"/>
      <c r="K267" s="115"/>
      <c r="L267" s="128" t="s">
        <v>224</v>
      </c>
      <c r="M267" s="115"/>
      <c r="N267" s="115"/>
      <c r="O267" s="115"/>
      <c r="P267" s="115"/>
      <c r="Q267" s="115"/>
      <c r="R267" s="115"/>
      <c r="S267" s="115"/>
      <c r="T267" s="115"/>
      <c r="U267" s="115"/>
      <c r="V267" s="115"/>
      <c r="W267" s="71"/>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row>
    <row r="268" spans="1:66" s="38" customFormat="1" ht="15" x14ac:dyDescent="0.2">
      <c r="A268" s="164"/>
      <c r="C268" s="185" t="s">
        <v>136</v>
      </c>
      <c r="D268" s="116"/>
      <c r="E268" s="116"/>
      <c r="F268" s="116"/>
      <c r="G268" s="116"/>
      <c r="H268" s="116"/>
      <c r="I268" s="120"/>
      <c r="J268" s="115"/>
      <c r="K268" s="115"/>
      <c r="L268" s="129" t="s">
        <v>201</v>
      </c>
      <c r="M268" s="130"/>
      <c r="N268" s="115"/>
      <c r="O268" s="115"/>
      <c r="P268" s="115"/>
      <c r="Q268" s="115"/>
      <c r="R268" s="115"/>
      <c r="S268" s="115"/>
      <c r="T268" s="115"/>
      <c r="U268" s="115"/>
      <c r="V268" s="115"/>
      <c r="W268" s="71"/>
      <c r="X268" s="39"/>
      <c r="Y268" s="39"/>
      <c r="Z268" s="39"/>
      <c r="AA268" s="39"/>
      <c r="AB268" s="39"/>
      <c r="AC268" s="39"/>
      <c r="AD268" s="39"/>
      <c r="AE268" s="39"/>
      <c r="AF268" s="39"/>
      <c r="AG268" s="39"/>
      <c r="AH268" s="39"/>
      <c r="AI268" s="39"/>
      <c r="AJ268" s="39"/>
      <c r="AK268" s="39"/>
      <c r="AL268" s="39"/>
      <c r="AM268" s="39"/>
      <c r="AN268" s="39"/>
      <c r="AO268" s="39"/>
      <c r="AP268" s="39"/>
      <c r="AQ268" s="39"/>
      <c r="AR268" s="39"/>
      <c r="AS268" s="39"/>
      <c r="AT268" s="39"/>
      <c r="AU268" s="39"/>
      <c r="AV268" s="39"/>
      <c r="AW268" s="39"/>
      <c r="AX268" s="39"/>
      <c r="AY268" s="39"/>
      <c r="AZ268" s="39"/>
      <c r="BA268" s="39"/>
      <c r="BB268" s="39"/>
      <c r="BC268" s="39"/>
      <c r="BD268" s="39"/>
      <c r="BE268" s="39"/>
      <c r="BF268" s="39"/>
      <c r="BG268" s="39"/>
      <c r="BH268" s="39"/>
      <c r="BI268" s="39"/>
      <c r="BJ268" s="39"/>
      <c r="BK268" s="39"/>
      <c r="BL268" s="39"/>
      <c r="BM268" s="39"/>
      <c r="BN268" s="39"/>
    </row>
    <row r="269" spans="1:66" x14ac:dyDescent="0.2">
      <c r="B269" s="35" t="s">
        <v>159</v>
      </c>
    </row>
  </sheetData>
  <mergeCells count="2">
    <mergeCell ref="C1:G1"/>
    <mergeCell ref="C2:I2"/>
  </mergeCells>
  <pageMargins left="0.43307086614173229" right="0.23622047244094491" top="0.74803149606299213" bottom="0.74803149606299213" header="0.11811023622047245" footer="0.31496062992125984"/>
  <pageSetup paperSize="9" scale="38" fitToHeight="0" orientation="landscape" r:id="rId1"/>
  <headerFooter>
    <oddFooter>&amp;C&amp;P DE &amp;N</oddFooter>
  </headerFooter>
  <rowBreaks count="1" manualBreakCount="1">
    <brk id="73" min="1" max="2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1830D-6B44-4FFA-BF79-6F938DEB3B00}">
  <sheetPr>
    <tabColor rgb="FF7030A0"/>
  </sheetPr>
  <dimension ref="A1:BN269"/>
  <sheetViews>
    <sheetView view="pageBreakPreview" zoomScale="70" zoomScaleNormal="70" zoomScaleSheetLayoutView="70" workbookViewId="0">
      <pane xSplit="3" ySplit="4" topLeftCell="J252" activePane="bottomRight" state="frozen"/>
      <selection pane="topRight" activeCell="C1" sqref="C1"/>
      <selection pane="bottomLeft" activeCell="A5" sqref="A5"/>
      <selection pane="bottomRight" activeCell="C254" sqref="C254"/>
    </sheetView>
  </sheetViews>
  <sheetFormatPr baseColWidth="10" defaultColWidth="8.85546875" defaultRowHeight="12.75" x14ac:dyDescent="0.2"/>
  <cols>
    <col min="1" max="1" width="8.85546875" style="160"/>
    <col min="2" max="2" width="44.7109375" style="35" customWidth="1"/>
    <col min="3" max="3" width="51.28515625" style="183" customWidth="1"/>
    <col min="4" max="4" width="26.7109375" style="40" customWidth="1"/>
    <col min="5" max="5" width="10.7109375" style="40" bestFit="1" customWidth="1"/>
    <col min="6" max="6" width="11.28515625" style="40" bestFit="1" customWidth="1"/>
    <col min="7" max="7" width="9.140625" style="40" bestFit="1" customWidth="1"/>
    <col min="8" max="8" width="11.7109375" style="40" bestFit="1" customWidth="1"/>
    <col min="9" max="9" width="22.5703125" style="121" customWidth="1"/>
    <col min="10" max="10" width="23.7109375" style="40" customWidth="1"/>
    <col min="11" max="11" width="20.28515625" style="40" bestFit="1" customWidth="1"/>
    <col min="12" max="12" width="21.28515625" style="40" customWidth="1"/>
    <col min="13" max="13" width="23.5703125" style="40" customWidth="1"/>
    <col min="14" max="14" width="27.140625" style="40" customWidth="1"/>
    <col min="15" max="15" width="22.7109375" style="40" customWidth="1"/>
    <col min="16" max="16" width="21.140625" style="40" customWidth="1"/>
    <col min="17" max="17" width="21" style="40" customWidth="1"/>
    <col min="18" max="18" width="23.140625" style="40" customWidth="1"/>
    <col min="19" max="19" width="21.85546875" style="40" customWidth="1"/>
    <col min="20" max="20" width="23.42578125" style="40" customWidth="1"/>
    <col min="21" max="21" width="22.7109375" style="40" customWidth="1"/>
    <col min="22" max="22" width="26.42578125" style="40" customWidth="1"/>
    <col min="23" max="23" width="22.42578125" style="70" customWidth="1"/>
    <col min="24" max="24" width="19.42578125" style="28" customWidth="1"/>
    <col min="25" max="66" width="8.85546875" style="28" customWidth="1"/>
    <col min="67" max="16384" width="8.85546875" style="35"/>
  </cols>
  <sheetData>
    <row r="1" spans="1:66" s="10" customFormat="1" ht="22.5" x14ac:dyDescent="0.2">
      <c r="A1" s="153"/>
      <c r="C1" s="186" t="s">
        <v>302</v>
      </c>
      <c r="D1" s="186"/>
      <c r="E1" s="186"/>
      <c r="F1" s="186"/>
      <c r="G1" s="186"/>
      <c r="H1" s="100"/>
      <c r="I1" s="117"/>
      <c r="J1" s="100"/>
      <c r="K1" s="100"/>
      <c r="L1" s="100"/>
      <c r="M1" s="100"/>
      <c r="N1" s="100"/>
      <c r="O1" s="100"/>
      <c r="P1" s="100"/>
      <c r="Q1" s="100"/>
      <c r="R1" s="100"/>
      <c r="S1" s="100"/>
      <c r="T1" s="100"/>
      <c r="U1" s="100"/>
      <c r="V1" s="100"/>
      <c r="W1" s="66"/>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row>
    <row r="2" spans="1:66" s="10" customFormat="1" ht="22.5" x14ac:dyDescent="0.2">
      <c r="A2" s="153"/>
      <c r="C2" s="187" t="s">
        <v>43</v>
      </c>
      <c r="D2" s="187"/>
      <c r="E2" s="187"/>
      <c r="F2" s="187"/>
      <c r="G2" s="187"/>
      <c r="H2" s="187"/>
      <c r="I2" s="187"/>
      <c r="J2" s="100"/>
      <c r="K2" s="100"/>
      <c r="L2" s="100"/>
      <c r="M2" s="100"/>
      <c r="N2" s="100"/>
      <c r="O2" s="100"/>
      <c r="P2" s="100"/>
      <c r="Q2" s="100"/>
      <c r="R2" s="100"/>
      <c r="S2" s="100"/>
      <c r="T2" s="100"/>
      <c r="U2" s="100"/>
      <c r="V2" s="100"/>
      <c r="W2" s="66"/>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row>
    <row r="3" spans="1:66" s="10" customFormat="1" x14ac:dyDescent="0.2">
      <c r="A3" s="153"/>
      <c r="C3" s="167"/>
      <c r="D3" s="100"/>
      <c r="E3" s="100"/>
      <c r="F3" s="100"/>
      <c r="G3" s="100"/>
      <c r="H3" s="100"/>
      <c r="I3" s="117"/>
      <c r="J3" s="100"/>
      <c r="K3" s="100"/>
      <c r="L3" s="100"/>
      <c r="M3" s="100"/>
      <c r="N3" s="100"/>
      <c r="O3" s="100"/>
      <c r="P3" s="100"/>
      <c r="Q3" s="100"/>
      <c r="R3" s="100"/>
      <c r="S3" s="100"/>
      <c r="T3" s="100"/>
      <c r="U3" s="100"/>
      <c r="V3" s="100"/>
      <c r="W3" s="66"/>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row>
    <row r="4" spans="1:66" s="1" customFormat="1" ht="76.5" customHeight="1" x14ac:dyDescent="0.2">
      <c r="A4" s="154"/>
      <c r="B4" s="3"/>
      <c r="C4" s="168" t="s">
        <v>37</v>
      </c>
      <c r="D4" s="101" t="s">
        <v>21</v>
      </c>
      <c r="E4" s="101" t="s">
        <v>22</v>
      </c>
      <c r="F4" s="101" t="s">
        <v>23</v>
      </c>
      <c r="G4" s="101" t="s">
        <v>40</v>
      </c>
      <c r="H4" s="101" t="s">
        <v>41</v>
      </c>
      <c r="I4" s="101" t="s">
        <v>24</v>
      </c>
      <c r="J4" s="101" t="s">
        <v>25</v>
      </c>
      <c r="K4" s="101" t="s">
        <v>26</v>
      </c>
      <c r="L4" s="101" t="s">
        <v>0</v>
      </c>
      <c r="M4" s="101" t="s">
        <v>27</v>
      </c>
      <c r="N4" s="101" t="s">
        <v>3</v>
      </c>
      <c r="O4" s="101" t="s">
        <v>1</v>
      </c>
      <c r="P4" s="101" t="s">
        <v>28</v>
      </c>
      <c r="Q4" s="101" t="s">
        <v>4</v>
      </c>
      <c r="R4" s="101" t="s">
        <v>29</v>
      </c>
      <c r="S4" s="101" t="s">
        <v>2</v>
      </c>
      <c r="T4" s="101" t="s">
        <v>30</v>
      </c>
      <c r="U4" s="101" t="s">
        <v>31</v>
      </c>
      <c r="V4" s="101" t="s">
        <v>32</v>
      </c>
      <c r="W4" s="67"/>
    </row>
    <row r="5" spans="1:66" s="11" customFormat="1" x14ac:dyDescent="0.2">
      <c r="A5" s="155"/>
      <c r="B5" s="13">
        <v>1</v>
      </c>
      <c r="C5" s="169" t="s">
        <v>5</v>
      </c>
      <c r="D5" s="102">
        <f>SUM(D6:D8)</f>
        <v>90641722287.639999</v>
      </c>
      <c r="E5" s="102">
        <f>SUM(E6:E8)</f>
        <v>0</v>
      </c>
      <c r="F5" s="102">
        <f>SUM(F6:F8)</f>
        <v>0</v>
      </c>
      <c r="G5" s="102">
        <v>0</v>
      </c>
      <c r="H5" s="102">
        <v>0</v>
      </c>
      <c r="I5" s="111">
        <f>+D5+E5-F5+G5-H5</f>
        <v>90641722287.639999</v>
      </c>
      <c r="J5" s="102">
        <f>SUM(J6:J8)</f>
        <v>0</v>
      </c>
      <c r="K5" s="102">
        <f t="shared" ref="K5:V5" si="0">SUM(K6:K8)</f>
        <v>0</v>
      </c>
      <c r="L5" s="102">
        <f t="shared" si="0"/>
        <v>0</v>
      </c>
      <c r="M5" s="102">
        <f t="shared" si="0"/>
        <v>0</v>
      </c>
      <c r="N5" s="102">
        <f t="shared" si="0"/>
        <v>0</v>
      </c>
      <c r="O5" s="102">
        <f t="shared" si="0"/>
        <v>0</v>
      </c>
      <c r="P5" s="102">
        <f t="shared" si="0"/>
        <v>0</v>
      </c>
      <c r="Q5" s="102">
        <f t="shared" si="0"/>
        <v>0</v>
      </c>
      <c r="R5" s="102">
        <f t="shared" si="0"/>
        <v>0</v>
      </c>
      <c r="S5" s="102">
        <f t="shared" si="0"/>
        <v>0</v>
      </c>
      <c r="T5" s="102">
        <f t="shared" si="0"/>
        <v>0</v>
      </c>
      <c r="U5" s="102">
        <f t="shared" si="0"/>
        <v>0</v>
      </c>
      <c r="V5" s="102">
        <f t="shared" si="0"/>
        <v>0</v>
      </c>
      <c r="W5" s="68"/>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row>
    <row r="6" spans="1:66" s="18" customFormat="1" x14ac:dyDescent="0.2">
      <c r="A6" s="153"/>
      <c r="B6" s="16"/>
      <c r="C6" s="170" t="s">
        <v>6</v>
      </c>
      <c r="D6" s="103">
        <v>0</v>
      </c>
      <c r="E6" s="103">
        <v>0</v>
      </c>
      <c r="F6" s="103">
        <v>0</v>
      </c>
      <c r="G6" s="103">
        <v>0</v>
      </c>
      <c r="H6" s="103">
        <v>0</v>
      </c>
      <c r="I6" s="111">
        <f>D6+E6-F6+G6-H6</f>
        <v>0</v>
      </c>
      <c r="J6" s="103">
        <v>0</v>
      </c>
      <c r="K6" s="103">
        <v>0</v>
      </c>
      <c r="L6" s="103">
        <v>0</v>
      </c>
      <c r="M6" s="103">
        <v>0</v>
      </c>
      <c r="N6" s="103">
        <v>0</v>
      </c>
      <c r="O6" s="103">
        <v>0</v>
      </c>
      <c r="P6" s="103">
        <v>0</v>
      </c>
      <c r="Q6" s="103">
        <v>0</v>
      </c>
      <c r="R6" s="103">
        <v>0</v>
      </c>
      <c r="S6" s="103">
        <v>0</v>
      </c>
      <c r="T6" s="103">
        <v>0</v>
      </c>
      <c r="U6" s="103">
        <v>0</v>
      </c>
      <c r="V6" s="103">
        <v>0</v>
      </c>
      <c r="W6" s="69"/>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row>
    <row r="7" spans="1:66" s="18" customFormat="1" x14ac:dyDescent="0.2">
      <c r="A7" s="153"/>
      <c r="B7" s="16"/>
      <c r="C7" s="170" t="s">
        <v>7</v>
      </c>
      <c r="D7" s="103">
        <f>90401548443.91+240173843.73</f>
        <v>90641722287.639999</v>
      </c>
      <c r="E7" s="103">
        <v>0</v>
      </c>
      <c r="F7" s="103">
        <v>0</v>
      </c>
      <c r="G7" s="103">
        <v>0</v>
      </c>
      <c r="H7" s="103">
        <v>0</v>
      </c>
      <c r="I7" s="166">
        <f>D7+E7-F7+G7-H7</f>
        <v>90641722287.639999</v>
      </c>
      <c r="J7" s="103">
        <v>0</v>
      </c>
      <c r="K7" s="103">
        <v>0</v>
      </c>
      <c r="L7" s="103">
        <v>0</v>
      </c>
      <c r="M7" s="103">
        <v>0</v>
      </c>
      <c r="N7" s="103">
        <v>0</v>
      </c>
      <c r="O7" s="103">
        <v>0</v>
      </c>
      <c r="P7" s="103">
        <v>0</v>
      </c>
      <c r="Q7" s="103">
        <v>0</v>
      </c>
      <c r="R7" s="103">
        <v>0</v>
      </c>
      <c r="S7" s="103">
        <v>0</v>
      </c>
      <c r="T7" s="103">
        <v>0</v>
      </c>
      <c r="U7" s="103">
        <v>0</v>
      </c>
      <c r="V7" s="103">
        <v>0</v>
      </c>
      <c r="W7" s="69"/>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row>
    <row r="8" spans="1:66" s="10" customFormat="1" x14ac:dyDescent="0.2">
      <c r="A8" s="153"/>
      <c r="B8" s="19"/>
      <c r="C8" s="171" t="s">
        <v>42</v>
      </c>
      <c r="D8" s="104">
        <v>0</v>
      </c>
      <c r="E8" s="104">
        <v>0</v>
      </c>
      <c r="F8" s="104">
        <v>0</v>
      </c>
      <c r="G8" s="104">
        <v>0</v>
      </c>
      <c r="H8" s="104">
        <v>0</v>
      </c>
      <c r="I8" s="111">
        <f>+D8+E8-F8+G8-H8</f>
        <v>0</v>
      </c>
      <c r="J8" s="104">
        <v>0</v>
      </c>
      <c r="K8" s="104">
        <v>0</v>
      </c>
      <c r="L8" s="104">
        <v>0</v>
      </c>
      <c r="M8" s="104">
        <v>0</v>
      </c>
      <c r="N8" s="104">
        <v>0</v>
      </c>
      <c r="O8" s="104">
        <v>0</v>
      </c>
      <c r="P8" s="104">
        <v>0</v>
      </c>
      <c r="Q8" s="104">
        <v>0</v>
      </c>
      <c r="R8" s="104">
        <v>0</v>
      </c>
      <c r="S8" s="104">
        <v>0</v>
      </c>
      <c r="T8" s="104">
        <v>0</v>
      </c>
      <c r="U8" s="104">
        <v>0</v>
      </c>
      <c r="V8" s="104">
        <v>0</v>
      </c>
      <c r="W8" s="66"/>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row>
    <row r="9" spans="1:66" s="11" customFormat="1" x14ac:dyDescent="0.2">
      <c r="A9" s="155"/>
      <c r="B9" s="13">
        <v>2</v>
      </c>
      <c r="C9" s="169" t="s">
        <v>8</v>
      </c>
      <c r="D9" s="102">
        <f>D10</f>
        <v>101909465820.87</v>
      </c>
      <c r="E9" s="102">
        <f>E10</f>
        <v>0</v>
      </c>
      <c r="F9" s="102">
        <f>F10</f>
        <v>0</v>
      </c>
      <c r="G9" s="102">
        <f>G10</f>
        <v>0</v>
      </c>
      <c r="H9" s="102">
        <f>H10</f>
        <v>0</v>
      </c>
      <c r="I9" s="102">
        <f>D9+E9-F9+G9-H9</f>
        <v>101909465820.87</v>
      </c>
      <c r="J9" s="102">
        <f>J10</f>
        <v>0</v>
      </c>
      <c r="K9" s="102">
        <f t="shared" ref="K9:V11" si="1">K10</f>
        <v>0</v>
      </c>
      <c r="L9" s="102">
        <f t="shared" si="1"/>
        <v>0</v>
      </c>
      <c r="M9" s="102">
        <f t="shared" si="1"/>
        <v>0</v>
      </c>
      <c r="N9" s="102">
        <f t="shared" si="1"/>
        <v>0</v>
      </c>
      <c r="O9" s="102">
        <f t="shared" si="1"/>
        <v>0</v>
      </c>
      <c r="P9" s="102">
        <f t="shared" si="1"/>
        <v>0</v>
      </c>
      <c r="Q9" s="102">
        <f t="shared" si="1"/>
        <v>0</v>
      </c>
      <c r="R9" s="102">
        <f t="shared" si="1"/>
        <v>0</v>
      </c>
      <c r="S9" s="102">
        <f t="shared" si="1"/>
        <v>0</v>
      </c>
      <c r="T9" s="102">
        <f t="shared" si="1"/>
        <v>0</v>
      </c>
      <c r="U9" s="102">
        <f t="shared" si="1"/>
        <v>0</v>
      </c>
      <c r="V9" s="102">
        <f t="shared" si="1"/>
        <v>0</v>
      </c>
      <c r="W9" s="64"/>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row>
    <row r="10" spans="1:66" s="15" customFormat="1" x14ac:dyDescent="0.2">
      <c r="A10" s="2"/>
      <c r="B10" s="4"/>
      <c r="C10" s="172" t="s">
        <v>9</v>
      </c>
      <c r="D10" s="105">
        <f>D11</f>
        <v>101909465820.87</v>
      </c>
      <c r="E10" s="106">
        <v>0</v>
      </c>
      <c r="F10" s="106">
        <v>0</v>
      </c>
      <c r="G10" s="106">
        <v>0</v>
      </c>
      <c r="H10" s="106">
        <v>0</v>
      </c>
      <c r="I10" s="102">
        <f>D10+E10-F10+G10-H10</f>
        <v>101909465820.87</v>
      </c>
      <c r="J10" s="105">
        <f>J11</f>
        <v>0</v>
      </c>
      <c r="K10" s="105">
        <f t="shared" si="1"/>
        <v>0</v>
      </c>
      <c r="L10" s="105">
        <f t="shared" si="1"/>
        <v>0</v>
      </c>
      <c r="M10" s="105">
        <f t="shared" si="1"/>
        <v>0</v>
      </c>
      <c r="N10" s="105">
        <f t="shared" si="1"/>
        <v>0</v>
      </c>
      <c r="O10" s="105">
        <f t="shared" si="1"/>
        <v>0</v>
      </c>
      <c r="P10" s="105">
        <f t="shared" si="1"/>
        <v>0</v>
      </c>
      <c r="Q10" s="105">
        <f t="shared" si="1"/>
        <v>0</v>
      </c>
      <c r="R10" s="105">
        <f t="shared" si="1"/>
        <v>0</v>
      </c>
      <c r="S10" s="105">
        <f t="shared" si="1"/>
        <v>0</v>
      </c>
      <c r="T10" s="105">
        <f t="shared" si="1"/>
        <v>0</v>
      </c>
      <c r="U10" s="105">
        <f t="shared" si="1"/>
        <v>0</v>
      </c>
      <c r="V10" s="105">
        <f t="shared" si="1"/>
        <v>0</v>
      </c>
      <c r="W10" s="64"/>
    </row>
    <row r="11" spans="1:66" s="15" customFormat="1" x14ac:dyDescent="0.2">
      <c r="A11" s="2"/>
      <c r="B11" s="4" t="s">
        <v>47</v>
      </c>
      <c r="C11" s="172" t="s">
        <v>48</v>
      </c>
      <c r="D11" s="105">
        <f>D12</f>
        <v>101909465820.87</v>
      </c>
      <c r="E11" s="106">
        <v>0</v>
      </c>
      <c r="F11" s="106">
        <v>0</v>
      </c>
      <c r="G11" s="106">
        <v>0</v>
      </c>
      <c r="H11" s="106">
        <v>0</v>
      </c>
      <c r="I11" s="102">
        <f>D11+E11-F11+G11-H11</f>
        <v>101909465820.87</v>
      </c>
      <c r="J11" s="105">
        <f>J12</f>
        <v>0</v>
      </c>
      <c r="K11" s="105">
        <f t="shared" si="1"/>
        <v>0</v>
      </c>
      <c r="L11" s="105">
        <f t="shared" si="1"/>
        <v>0</v>
      </c>
      <c r="M11" s="105">
        <f t="shared" si="1"/>
        <v>0</v>
      </c>
      <c r="N11" s="105">
        <f t="shared" si="1"/>
        <v>0</v>
      </c>
      <c r="O11" s="105">
        <f t="shared" si="1"/>
        <v>0</v>
      </c>
      <c r="P11" s="105">
        <f t="shared" si="1"/>
        <v>0</v>
      </c>
      <c r="Q11" s="105">
        <f t="shared" si="1"/>
        <v>0</v>
      </c>
      <c r="R11" s="105">
        <f t="shared" si="1"/>
        <v>0</v>
      </c>
      <c r="S11" s="105">
        <f t="shared" si="1"/>
        <v>0</v>
      </c>
      <c r="T11" s="105">
        <f t="shared" si="1"/>
        <v>0</v>
      </c>
      <c r="U11" s="105">
        <f t="shared" si="1"/>
        <v>0</v>
      </c>
      <c r="V11" s="105">
        <f t="shared" si="1"/>
        <v>0</v>
      </c>
      <c r="W11" s="64"/>
    </row>
    <row r="12" spans="1:66" s="15" customFormat="1" x14ac:dyDescent="0.2">
      <c r="A12" s="2"/>
      <c r="B12" s="4" t="s">
        <v>49</v>
      </c>
      <c r="C12" s="172" t="s">
        <v>50</v>
      </c>
      <c r="D12" s="105">
        <f>D13+D14+D15+D16+D17+D18+D19+D20+D21+D22</f>
        <v>101909465820.87</v>
      </c>
      <c r="E12" s="106">
        <v>0</v>
      </c>
      <c r="F12" s="106">
        <v>0</v>
      </c>
      <c r="G12" s="106">
        <v>0</v>
      </c>
      <c r="H12" s="106">
        <v>0</v>
      </c>
      <c r="I12" s="102">
        <f>D12+E12-F12+G12-H12</f>
        <v>101909465820.87</v>
      </c>
      <c r="J12" s="105">
        <f>J13+J14+J15+J16+J17+J18+J19+J20+J21+J22</f>
        <v>0</v>
      </c>
      <c r="K12" s="105">
        <f t="shared" ref="K12:V12" si="2">K13+K14+K15+K16+K17+K18+K19+K20+K21+K22</f>
        <v>0</v>
      </c>
      <c r="L12" s="105">
        <f t="shared" si="2"/>
        <v>0</v>
      </c>
      <c r="M12" s="105">
        <f t="shared" si="2"/>
        <v>0</v>
      </c>
      <c r="N12" s="105">
        <f t="shared" si="2"/>
        <v>0</v>
      </c>
      <c r="O12" s="105">
        <f t="shared" si="2"/>
        <v>0</v>
      </c>
      <c r="P12" s="105">
        <f t="shared" si="2"/>
        <v>0</v>
      </c>
      <c r="Q12" s="105">
        <f t="shared" si="2"/>
        <v>0</v>
      </c>
      <c r="R12" s="105">
        <f t="shared" si="2"/>
        <v>0</v>
      </c>
      <c r="S12" s="105">
        <f t="shared" si="2"/>
        <v>0</v>
      </c>
      <c r="T12" s="105">
        <f t="shared" si="2"/>
        <v>0</v>
      </c>
      <c r="U12" s="105">
        <f t="shared" si="2"/>
        <v>0</v>
      </c>
      <c r="V12" s="105">
        <f t="shared" si="2"/>
        <v>0</v>
      </c>
      <c r="W12" s="64"/>
    </row>
    <row r="13" spans="1:66" s="12" customFormat="1" x14ac:dyDescent="0.2">
      <c r="A13" s="154"/>
      <c r="B13" s="20" t="s">
        <v>128</v>
      </c>
      <c r="C13" s="173" t="s">
        <v>15</v>
      </c>
      <c r="D13" s="106">
        <v>1545629792.9000001</v>
      </c>
      <c r="E13" s="106">
        <v>0</v>
      </c>
      <c r="F13" s="106">
        <v>0</v>
      </c>
      <c r="G13" s="106">
        <v>0</v>
      </c>
      <c r="H13" s="106">
        <v>0</v>
      </c>
      <c r="I13" s="80">
        <f>D13+E13-F13+G13-H13</f>
        <v>1545629792.9000001</v>
      </c>
      <c r="J13" s="104">
        <f>J52+J53+J56+J60+J62+J66+J69</f>
        <v>0</v>
      </c>
      <c r="K13" s="104">
        <f t="shared" ref="K13:V13" si="3">K52+K53+K56+K60+K62+K66+K69</f>
        <v>0</v>
      </c>
      <c r="L13" s="104">
        <f t="shared" si="3"/>
        <v>0</v>
      </c>
      <c r="M13" s="104">
        <f t="shared" si="3"/>
        <v>0</v>
      </c>
      <c r="N13" s="104">
        <f t="shared" si="3"/>
        <v>0</v>
      </c>
      <c r="O13" s="104">
        <f t="shared" si="3"/>
        <v>0</v>
      </c>
      <c r="P13" s="104">
        <f t="shared" si="3"/>
        <v>0</v>
      </c>
      <c r="Q13" s="104">
        <f t="shared" si="3"/>
        <v>0</v>
      </c>
      <c r="R13" s="104">
        <f t="shared" si="3"/>
        <v>0</v>
      </c>
      <c r="S13" s="104">
        <f t="shared" si="3"/>
        <v>0</v>
      </c>
      <c r="T13" s="104">
        <f t="shared" si="3"/>
        <v>0</v>
      </c>
      <c r="U13" s="104">
        <f t="shared" si="3"/>
        <v>0</v>
      </c>
      <c r="V13" s="104">
        <f t="shared" si="3"/>
        <v>0</v>
      </c>
      <c r="W13" s="64"/>
    </row>
    <row r="14" spans="1:66" s="12" customFormat="1" x14ac:dyDescent="0.2">
      <c r="A14" s="154"/>
      <c r="B14" s="20" t="s">
        <v>129</v>
      </c>
      <c r="C14" s="173" t="s">
        <v>15</v>
      </c>
      <c r="D14" s="106">
        <v>10223000000</v>
      </c>
      <c r="E14" s="106">
        <v>0</v>
      </c>
      <c r="F14" s="106">
        <v>0</v>
      </c>
      <c r="G14" s="106">
        <v>0</v>
      </c>
      <c r="H14" s="106">
        <v>0</v>
      </c>
      <c r="I14" s="80">
        <f t="shared" ref="I14:I22" si="4">D14+E14-F14+G14-H14</f>
        <v>10223000000</v>
      </c>
      <c r="J14" s="106">
        <v>0</v>
      </c>
      <c r="K14" s="83">
        <v>0</v>
      </c>
      <c r="L14" s="83">
        <v>0</v>
      </c>
      <c r="M14" s="83">
        <v>0</v>
      </c>
      <c r="N14" s="83">
        <v>0</v>
      </c>
      <c r="O14" s="83">
        <v>0</v>
      </c>
      <c r="P14" s="83">
        <v>0</v>
      </c>
      <c r="Q14" s="83">
        <v>0</v>
      </c>
      <c r="R14" s="83">
        <v>0</v>
      </c>
      <c r="S14" s="83">
        <v>0</v>
      </c>
      <c r="T14" s="83">
        <v>0</v>
      </c>
      <c r="U14" s="83">
        <v>0</v>
      </c>
      <c r="V14" s="83">
        <v>0</v>
      </c>
      <c r="W14" s="64"/>
    </row>
    <row r="15" spans="1:66" s="12" customFormat="1" x14ac:dyDescent="0.2">
      <c r="A15" s="154"/>
      <c r="B15" s="20" t="s">
        <v>157</v>
      </c>
      <c r="C15" s="173" t="s">
        <v>106</v>
      </c>
      <c r="D15" s="107">
        <v>6123229897.9700003</v>
      </c>
      <c r="E15" s="106">
        <v>0</v>
      </c>
      <c r="F15" s="106">
        <v>0</v>
      </c>
      <c r="G15" s="106">
        <v>0</v>
      </c>
      <c r="H15" s="106">
        <v>0</v>
      </c>
      <c r="I15" s="80">
        <f t="shared" si="4"/>
        <v>6123229897.9700003</v>
      </c>
      <c r="J15" s="106">
        <f>J92+J93+J95+J96</f>
        <v>0</v>
      </c>
      <c r="K15" s="106">
        <f t="shared" ref="K15:V15" si="5">K92+K93+K95+K96</f>
        <v>0</v>
      </c>
      <c r="L15" s="106">
        <f t="shared" si="5"/>
        <v>0</v>
      </c>
      <c r="M15" s="106">
        <f t="shared" si="5"/>
        <v>0</v>
      </c>
      <c r="N15" s="106">
        <f t="shared" si="5"/>
        <v>0</v>
      </c>
      <c r="O15" s="106">
        <f t="shared" si="5"/>
        <v>0</v>
      </c>
      <c r="P15" s="106">
        <f t="shared" si="5"/>
        <v>0</v>
      </c>
      <c r="Q15" s="106">
        <f t="shared" si="5"/>
        <v>0</v>
      </c>
      <c r="R15" s="106">
        <f t="shared" si="5"/>
        <v>0</v>
      </c>
      <c r="S15" s="106">
        <f t="shared" si="5"/>
        <v>0</v>
      </c>
      <c r="T15" s="106">
        <f t="shared" si="5"/>
        <v>0</v>
      </c>
      <c r="U15" s="106">
        <f t="shared" si="5"/>
        <v>0</v>
      </c>
      <c r="V15" s="106">
        <f t="shared" si="5"/>
        <v>0</v>
      </c>
      <c r="W15" s="64"/>
    </row>
    <row r="16" spans="1:66" s="12" customFormat="1" x14ac:dyDescent="0.2">
      <c r="A16" s="154"/>
      <c r="B16" s="94" t="s">
        <v>130</v>
      </c>
      <c r="C16" s="173" t="s">
        <v>106</v>
      </c>
      <c r="D16" s="108">
        <v>8248505682.5700006</v>
      </c>
      <c r="E16" s="106">
        <v>0</v>
      </c>
      <c r="F16" s="106">
        <v>0</v>
      </c>
      <c r="G16" s="106">
        <v>0</v>
      </c>
      <c r="H16" s="106">
        <v>0</v>
      </c>
      <c r="I16" s="80">
        <f t="shared" si="4"/>
        <v>8248505682.5700006</v>
      </c>
      <c r="J16" s="106">
        <f>J77+J78+J80+J86+J89</f>
        <v>0</v>
      </c>
      <c r="K16" s="106">
        <f t="shared" ref="K16:V16" si="6">K77+K78+K80+K86+K89</f>
        <v>0</v>
      </c>
      <c r="L16" s="106">
        <f t="shared" si="6"/>
        <v>0</v>
      </c>
      <c r="M16" s="106">
        <f t="shared" si="6"/>
        <v>0</v>
      </c>
      <c r="N16" s="106">
        <f t="shared" si="6"/>
        <v>0</v>
      </c>
      <c r="O16" s="106">
        <f t="shared" si="6"/>
        <v>0</v>
      </c>
      <c r="P16" s="106">
        <f t="shared" si="6"/>
        <v>0</v>
      </c>
      <c r="Q16" s="106">
        <f t="shared" si="6"/>
        <v>0</v>
      </c>
      <c r="R16" s="106">
        <f t="shared" si="6"/>
        <v>0</v>
      </c>
      <c r="S16" s="106">
        <f t="shared" si="6"/>
        <v>0</v>
      </c>
      <c r="T16" s="106">
        <f t="shared" si="6"/>
        <v>0</v>
      </c>
      <c r="U16" s="106">
        <f t="shared" si="6"/>
        <v>0</v>
      </c>
      <c r="V16" s="106">
        <f t="shared" si="6"/>
        <v>0</v>
      </c>
      <c r="W16" s="64"/>
    </row>
    <row r="17" spans="1:66" s="12" customFormat="1" x14ac:dyDescent="0.2">
      <c r="A17" s="154"/>
      <c r="B17" s="94" t="s">
        <v>131</v>
      </c>
      <c r="C17" s="173" t="s">
        <v>106</v>
      </c>
      <c r="D17" s="108">
        <v>3886862565</v>
      </c>
      <c r="E17" s="106">
        <v>0</v>
      </c>
      <c r="F17" s="106">
        <v>0</v>
      </c>
      <c r="G17" s="106">
        <v>0</v>
      </c>
      <c r="H17" s="106">
        <v>0</v>
      </c>
      <c r="I17" s="80">
        <f t="shared" si="4"/>
        <v>3886862565</v>
      </c>
      <c r="J17" s="106">
        <f>J108+J109</f>
        <v>0</v>
      </c>
      <c r="K17" s="106">
        <f t="shared" ref="K17:V17" si="7">K108+K109</f>
        <v>0</v>
      </c>
      <c r="L17" s="106">
        <f t="shared" si="7"/>
        <v>0</v>
      </c>
      <c r="M17" s="106">
        <f t="shared" si="7"/>
        <v>0</v>
      </c>
      <c r="N17" s="106">
        <f t="shared" si="7"/>
        <v>0</v>
      </c>
      <c r="O17" s="106">
        <f t="shared" si="7"/>
        <v>0</v>
      </c>
      <c r="P17" s="106">
        <f t="shared" si="7"/>
        <v>0</v>
      </c>
      <c r="Q17" s="106">
        <f t="shared" si="7"/>
        <v>0</v>
      </c>
      <c r="R17" s="106">
        <f t="shared" si="7"/>
        <v>0</v>
      </c>
      <c r="S17" s="106">
        <f t="shared" si="7"/>
        <v>0</v>
      </c>
      <c r="T17" s="106">
        <f t="shared" si="7"/>
        <v>0</v>
      </c>
      <c r="U17" s="106">
        <f t="shared" si="7"/>
        <v>0</v>
      </c>
      <c r="V17" s="106">
        <f t="shared" si="7"/>
        <v>0</v>
      </c>
      <c r="W17" s="64"/>
    </row>
    <row r="18" spans="1:66" s="12" customFormat="1" x14ac:dyDescent="0.2">
      <c r="A18" s="154"/>
      <c r="B18" s="140" t="s">
        <v>132</v>
      </c>
      <c r="C18" s="173" t="s">
        <v>106</v>
      </c>
      <c r="D18" s="107">
        <v>1500000000</v>
      </c>
      <c r="E18" s="106">
        <v>0</v>
      </c>
      <c r="F18" s="106">
        <v>0</v>
      </c>
      <c r="G18" s="106">
        <v>0</v>
      </c>
      <c r="H18" s="106">
        <v>0</v>
      </c>
      <c r="I18" s="80">
        <f t="shared" si="4"/>
        <v>1500000000</v>
      </c>
      <c r="J18" s="106">
        <f>J99+J100</f>
        <v>0</v>
      </c>
      <c r="K18" s="106">
        <f t="shared" ref="K18:V18" si="8">K99+K100</f>
        <v>0</v>
      </c>
      <c r="L18" s="106">
        <f t="shared" si="8"/>
        <v>0</v>
      </c>
      <c r="M18" s="106">
        <f t="shared" si="8"/>
        <v>0</v>
      </c>
      <c r="N18" s="106">
        <f t="shared" si="8"/>
        <v>0</v>
      </c>
      <c r="O18" s="106">
        <f t="shared" si="8"/>
        <v>0</v>
      </c>
      <c r="P18" s="106">
        <f t="shared" si="8"/>
        <v>0</v>
      </c>
      <c r="Q18" s="106">
        <f t="shared" si="8"/>
        <v>0</v>
      </c>
      <c r="R18" s="106">
        <f t="shared" si="8"/>
        <v>0</v>
      </c>
      <c r="S18" s="106">
        <f t="shared" si="8"/>
        <v>0</v>
      </c>
      <c r="T18" s="106">
        <f t="shared" si="8"/>
        <v>0</v>
      </c>
      <c r="U18" s="106">
        <f t="shared" si="8"/>
        <v>0</v>
      </c>
      <c r="V18" s="106">
        <f t="shared" si="8"/>
        <v>0</v>
      </c>
      <c r="W18" s="64"/>
    </row>
    <row r="19" spans="1:66" s="12" customFormat="1" x14ac:dyDescent="0.2">
      <c r="A19" s="154"/>
      <c r="B19" s="142" t="s">
        <v>133</v>
      </c>
      <c r="C19" s="173" t="s">
        <v>106</v>
      </c>
      <c r="D19" s="143">
        <v>16356154691.43</v>
      </c>
      <c r="E19" s="106">
        <v>0</v>
      </c>
      <c r="F19" s="106">
        <v>0</v>
      </c>
      <c r="G19" s="106">
        <v>0</v>
      </c>
      <c r="H19" s="106">
        <v>0</v>
      </c>
      <c r="I19" s="144">
        <f>D19+E19-F19+G19-H19</f>
        <v>16356154691.43</v>
      </c>
      <c r="J19" s="145">
        <f>J99+J100</f>
        <v>0</v>
      </c>
      <c r="K19" s="145">
        <f t="shared" ref="K19:V19" si="9">K99+K100</f>
        <v>0</v>
      </c>
      <c r="L19" s="145">
        <f t="shared" si="9"/>
        <v>0</v>
      </c>
      <c r="M19" s="145">
        <f t="shared" si="9"/>
        <v>0</v>
      </c>
      <c r="N19" s="145">
        <f t="shared" si="9"/>
        <v>0</v>
      </c>
      <c r="O19" s="145">
        <f t="shared" si="9"/>
        <v>0</v>
      </c>
      <c r="P19" s="145">
        <f t="shared" si="9"/>
        <v>0</v>
      </c>
      <c r="Q19" s="145">
        <f t="shared" si="9"/>
        <v>0</v>
      </c>
      <c r="R19" s="145">
        <f t="shared" si="9"/>
        <v>0</v>
      </c>
      <c r="S19" s="145">
        <f t="shared" si="9"/>
        <v>0</v>
      </c>
      <c r="T19" s="145">
        <f t="shared" si="9"/>
        <v>0</v>
      </c>
      <c r="U19" s="145">
        <f t="shared" si="9"/>
        <v>0</v>
      </c>
      <c r="V19" s="145">
        <f t="shared" si="9"/>
        <v>0</v>
      </c>
      <c r="W19" s="64"/>
    </row>
    <row r="20" spans="1:66" s="12" customFormat="1" x14ac:dyDescent="0.2">
      <c r="A20" s="154"/>
      <c r="B20" s="94" t="s">
        <v>203</v>
      </c>
      <c r="C20" s="173" t="s">
        <v>106</v>
      </c>
      <c r="D20" s="107">
        <v>200000000</v>
      </c>
      <c r="E20" s="106"/>
      <c r="F20" s="106"/>
      <c r="G20" s="106"/>
      <c r="H20" s="106"/>
      <c r="I20" s="80">
        <f>D20+E20-F20+G20-H20</f>
        <v>200000000</v>
      </c>
      <c r="J20" s="106">
        <f>J101</f>
        <v>0</v>
      </c>
      <c r="K20" s="106">
        <f t="shared" ref="K20:V20" si="10">K101</f>
        <v>0</v>
      </c>
      <c r="L20" s="106">
        <f t="shared" si="10"/>
        <v>0</v>
      </c>
      <c r="M20" s="106">
        <f t="shared" si="10"/>
        <v>0</v>
      </c>
      <c r="N20" s="106">
        <f t="shared" si="10"/>
        <v>0</v>
      </c>
      <c r="O20" s="106">
        <f t="shared" si="10"/>
        <v>0</v>
      </c>
      <c r="P20" s="106">
        <f t="shared" si="10"/>
        <v>0</v>
      </c>
      <c r="Q20" s="106">
        <f t="shared" si="10"/>
        <v>0</v>
      </c>
      <c r="R20" s="106">
        <f t="shared" si="10"/>
        <v>0</v>
      </c>
      <c r="S20" s="106">
        <f t="shared" si="10"/>
        <v>0</v>
      </c>
      <c r="T20" s="106">
        <f t="shared" si="10"/>
        <v>0</v>
      </c>
      <c r="U20" s="106">
        <f t="shared" si="10"/>
        <v>0</v>
      </c>
      <c r="V20" s="106">
        <f t="shared" si="10"/>
        <v>0</v>
      </c>
      <c r="W20" s="64"/>
    </row>
    <row r="21" spans="1:66" s="12" customFormat="1" x14ac:dyDescent="0.2">
      <c r="A21" s="154"/>
      <c r="B21" s="140" t="s">
        <v>134</v>
      </c>
      <c r="C21" s="173" t="s">
        <v>106</v>
      </c>
      <c r="D21" s="109">
        <v>21000000000</v>
      </c>
      <c r="E21" s="106">
        <v>0</v>
      </c>
      <c r="F21" s="106">
        <v>0</v>
      </c>
      <c r="G21" s="106">
        <v>0</v>
      </c>
      <c r="H21" s="106">
        <v>0</v>
      </c>
      <c r="I21" s="139">
        <f t="shared" si="4"/>
        <v>21000000000</v>
      </c>
      <c r="J21" s="106">
        <f>J103</f>
        <v>0</v>
      </c>
      <c r="K21" s="106">
        <f t="shared" ref="K21:V21" si="11">K103</f>
        <v>0</v>
      </c>
      <c r="L21" s="106">
        <f t="shared" si="11"/>
        <v>0</v>
      </c>
      <c r="M21" s="106">
        <f t="shared" si="11"/>
        <v>0</v>
      </c>
      <c r="N21" s="106">
        <f t="shared" si="11"/>
        <v>0</v>
      </c>
      <c r="O21" s="106">
        <f t="shared" si="11"/>
        <v>0</v>
      </c>
      <c r="P21" s="106">
        <f t="shared" si="11"/>
        <v>0</v>
      </c>
      <c r="Q21" s="106">
        <f t="shared" si="11"/>
        <v>0</v>
      </c>
      <c r="R21" s="106">
        <f t="shared" si="11"/>
        <v>0</v>
      </c>
      <c r="S21" s="106">
        <f t="shared" si="11"/>
        <v>0</v>
      </c>
      <c r="T21" s="106">
        <f t="shared" si="11"/>
        <v>0</v>
      </c>
      <c r="U21" s="106">
        <f t="shared" si="11"/>
        <v>0</v>
      </c>
      <c r="V21" s="106">
        <f t="shared" si="11"/>
        <v>0</v>
      </c>
      <c r="W21" s="64"/>
    </row>
    <row r="22" spans="1:66" s="12" customFormat="1" x14ac:dyDescent="0.2">
      <c r="A22" s="154"/>
      <c r="B22" s="94" t="s">
        <v>200</v>
      </c>
      <c r="C22" s="173" t="s">
        <v>106</v>
      </c>
      <c r="D22" s="107">
        <v>32826083191</v>
      </c>
      <c r="E22" s="106">
        <v>0</v>
      </c>
      <c r="F22" s="106">
        <v>0</v>
      </c>
      <c r="G22" s="106">
        <v>0</v>
      </c>
      <c r="H22" s="106">
        <v>0</v>
      </c>
      <c r="I22" s="80">
        <f t="shared" si="4"/>
        <v>32826083191</v>
      </c>
      <c r="J22" s="106">
        <v>0</v>
      </c>
      <c r="K22" s="106">
        <v>0</v>
      </c>
      <c r="L22" s="106">
        <v>0</v>
      </c>
      <c r="M22" s="106">
        <v>0</v>
      </c>
      <c r="N22" s="106">
        <v>0</v>
      </c>
      <c r="O22" s="106">
        <v>0</v>
      </c>
      <c r="P22" s="106">
        <v>0</v>
      </c>
      <c r="Q22" s="106">
        <v>0</v>
      </c>
      <c r="R22" s="106">
        <v>0</v>
      </c>
      <c r="S22" s="106">
        <v>0</v>
      </c>
      <c r="T22" s="106">
        <v>0</v>
      </c>
      <c r="U22" s="106">
        <v>0</v>
      </c>
      <c r="V22" s="106">
        <v>0</v>
      </c>
      <c r="W22" s="64"/>
    </row>
    <row r="23" spans="1:66" s="15" customFormat="1" x14ac:dyDescent="0.2">
      <c r="A23" s="2"/>
      <c r="B23" s="4"/>
      <c r="C23" s="172" t="s">
        <v>10</v>
      </c>
      <c r="D23" s="105"/>
      <c r="E23" s="105">
        <v>0</v>
      </c>
      <c r="F23" s="105">
        <v>0</v>
      </c>
      <c r="G23" s="105">
        <v>0</v>
      </c>
      <c r="H23" s="105">
        <v>0</v>
      </c>
      <c r="I23" s="111">
        <f>+D23+E23-F23+G23-H23</f>
        <v>0</v>
      </c>
      <c r="J23" s="105">
        <v>0</v>
      </c>
      <c r="K23" s="105">
        <v>0</v>
      </c>
      <c r="L23" s="105">
        <v>0</v>
      </c>
      <c r="M23" s="105">
        <v>0</v>
      </c>
      <c r="N23" s="105">
        <v>0</v>
      </c>
      <c r="O23" s="105">
        <v>0</v>
      </c>
      <c r="P23" s="105">
        <v>0</v>
      </c>
      <c r="Q23" s="105">
        <v>0</v>
      </c>
      <c r="R23" s="105">
        <v>0</v>
      </c>
      <c r="S23" s="105">
        <v>0</v>
      </c>
      <c r="T23" s="105">
        <v>0</v>
      </c>
      <c r="U23" s="105">
        <v>0</v>
      </c>
      <c r="V23" s="105">
        <v>0</v>
      </c>
      <c r="W23" s="64"/>
    </row>
    <row r="24" spans="1:66" s="11" customFormat="1" x14ac:dyDescent="0.2">
      <c r="A24" s="155"/>
      <c r="B24" s="14">
        <v>3</v>
      </c>
      <c r="C24" s="169" t="s">
        <v>11</v>
      </c>
      <c r="D24" s="102">
        <f>+D25</f>
        <v>0</v>
      </c>
      <c r="E24" s="102">
        <f>+E25+E26+E27</f>
        <v>0</v>
      </c>
      <c r="F24" s="102">
        <f>+F25+F26+F27</f>
        <v>0</v>
      </c>
      <c r="G24" s="102">
        <v>0</v>
      </c>
      <c r="H24" s="102">
        <v>0</v>
      </c>
      <c r="I24" s="111">
        <f>+D24+E24-F24+G24-H24</f>
        <v>0</v>
      </c>
      <c r="J24" s="102">
        <f t="shared" ref="J24:V24" si="12">+J25+J26+J27</f>
        <v>0</v>
      </c>
      <c r="K24" s="102">
        <f t="shared" si="12"/>
        <v>0</v>
      </c>
      <c r="L24" s="102">
        <f t="shared" si="12"/>
        <v>0</v>
      </c>
      <c r="M24" s="102">
        <f t="shared" si="12"/>
        <v>0</v>
      </c>
      <c r="N24" s="102">
        <f t="shared" si="12"/>
        <v>0</v>
      </c>
      <c r="O24" s="102">
        <f t="shared" si="12"/>
        <v>0</v>
      </c>
      <c r="P24" s="102">
        <f t="shared" si="12"/>
        <v>0</v>
      </c>
      <c r="Q24" s="102">
        <f t="shared" si="12"/>
        <v>0</v>
      </c>
      <c r="R24" s="102">
        <f t="shared" si="12"/>
        <v>0</v>
      </c>
      <c r="S24" s="102">
        <f t="shared" si="12"/>
        <v>0</v>
      </c>
      <c r="T24" s="102">
        <f t="shared" si="12"/>
        <v>0</v>
      </c>
      <c r="U24" s="102">
        <f t="shared" si="12"/>
        <v>0</v>
      </c>
      <c r="V24" s="102">
        <f t="shared" si="12"/>
        <v>0</v>
      </c>
      <c r="W24" s="64"/>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row>
    <row r="25" spans="1:66" s="11" customFormat="1" x14ac:dyDescent="0.2">
      <c r="A25" s="155"/>
      <c r="B25" s="13"/>
      <c r="C25" s="169" t="s">
        <v>12</v>
      </c>
      <c r="D25" s="102">
        <v>0</v>
      </c>
      <c r="E25" s="102">
        <v>0</v>
      </c>
      <c r="F25" s="102">
        <v>0</v>
      </c>
      <c r="G25" s="102">
        <v>0</v>
      </c>
      <c r="H25" s="102">
        <v>0</v>
      </c>
      <c r="I25" s="111">
        <f>+D25+E25-F25+G25-H25</f>
        <v>0</v>
      </c>
      <c r="J25" s="102">
        <v>0</v>
      </c>
      <c r="K25" s="83">
        <v>0</v>
      </c>
      <c r="L25" s="83">
        <v>0</v>
      </c>
      <c r="M25" s="83">
        <v>0</v>
      </c>
      <c r="N25" s="83">
        <v>0</v>
      </c>
      <c r="O25" s="83">
        <v>0</v>
      </c>
      <c r="P25" s="83">
        <v>0</v>
      </c>
      <c r="Q25" s="83">
        <v>0</v>
      </c>
      <c r="R25" s="83">
        <v>0</v>
      </c>
      <c r="S25" s="83">
        <v>0</v>
      </c>
      <c r="T25" s="83">
        <v>0</v>
      </c>
      <c r="U25" s="83">
        <v>0</v>
      </c>
      <c r="V25" s="83">
        <v>0</v>
      </c>
      <c r="W25" s="64"/>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row>
    <row r="26" spans="1:66" s="15" customFormat="1" x14ac:dyDescent="0.2">
      <c r="A26" s="2"/>
      <c r="B26" s="4"/>
      <c r="C26" s="172" t="s">
        <v>13</v>
      </c>
      <c r="D26" s="105">
        <v>0</v>
      </c>
      <c r="E26" s="105">
        <v>0</v>
      </c>
      <c r="F26" s="105">
        <v>0</v>
      </c>
      <c r="G26" s="105">
        <v>0</v>
      </c>
      <c r="H26" s="105">
        <v>0</v>
      </c>
      <c r="I26" s="111">
        <f>+D26+E26-F26+G26-H26</f>
        <v>0</v>
      </c>
      <c r="J26" s="102"/>
      <c r="K26" s="102"/>
      <c r="L26" s="102"/>
      <c r="M26" s="102"/>
      <c r="N26" s="102"/>
      <c r="O26" s="102"/>
      <c r="P26" s="102"/>
      <c r="Q26" s="102"/>
      <c r="R26" s="102"/>
      <c r="S26" s="102"/>
      <c r="T26" s="102"/>
      <c r="U26" s="102"/>
      <c r="V26" s="102"/>
      <c r="W26" s="64"/>
    </row>
    <row r="27" spans="1:66" s="11" customFormat="1" x14ac:dyDescent="0.2">
      <c r="A27" s="155"/>
      <c r="B27" s="13"/>
      <c r="C27" s="169" t="s">
        <v>14</v>
      </c>
      <c r="D27" s="102">
        <v>0</v>
      </c>
      <c r="E27" s="102">
        <v>0</v>
      </c>
      <c r="F27" s="102">
        <v>0</v>
      </c>
      <c r="G27" s="102">
        <v>0</v>
      </c>
      <c r="H27" s="102">
        <v>0</v>
      </c>
      <c r="I27" s="111">
        <f>+D27+E27-F27+G27-H27</f>
        <v>0</v>
      </c>
      <c r="J27" s="102"/>
      <c r="K27" s="102"/>
      <c r="L27" s="102"/>
      <c r="M27" s="102"/>
      <c r="N27" s="102"/>
      <c r="O27" s="102"/>
      <c r="P27" s="102"/>
      <c r="Q27" s="102"/>
      <c r="R27" s="102"/>
      <c r="S27" s="102"/>
      <c r="T27" s="102"/>
      <c r="U27" s="102"/>
      <c r="V27" s="102"/>
      <c r="W27" s="64"/>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row>
    <row r="28" spans="1:66" s="22" customFormat="1" x14ac:dyDescent="0.2">
      <c r="A28" s="156"/>
      <c r="B28" s="21" t="s">
        <v>34</v>
      </c>
      <c r="C28" s="174" t="s">
        <v>33</v>
      </c>
      <c r="D28" s="110">
        <f>D5+D9+D24</f>
        <v>192551188108.51001</v>
      </c>
      <c r="E28" s="110">
        <f t="shared" ref="E28:V28" si="13">+E5+E9+E24</f>
        <v>0</v>
      </c>
      <c r="F28" s="110">
        <f t="shared" si="13"/>
        <v>0</v>
      </c>
      <c r="G28" s="110">
        <f t="shared" si="13"/>
        <v>0</v>
      </c>
      <c r="H28" s="110">
        <f t="shared" si="13"/>
        <v>0</v>
      </c>
      <c r="I28" s="110">
        <f t="shared" si="13"/>
        <v>192551188108.51001</v>
      </c>
      <c r="J28" s="110">
        <f t="shared" si="13"/>
        <v>0</v>
      </c>
      <c r="K28" s="110">
        <f t="shared" si="13"/>
        <v>0</v>
      </c>
      <c r="L28" s="110">
        <f t="shared" si="13"/>
        <v>0</v>
      </c>
      <c r="M28" s="110">
        <f t="shared" si="13"/>
        <v>0</v>
      </c>
      <c r="N28" s="110">
        <f t="shared" si="13"/>
        <v>0</v>
      </c>
      <c r="O28" s="110">
        <f t="shared" si="13"/>
        <v>0</v>
      </c>
      <c r="P28" s="110">
        <f t="shared" si="13"/>
        <v>0</v>
      </c>
      <c r="Q28" s="110">
        <f t="shared" si="13"/>
        <v>0</v>
      </c>
      <c r="R28" s="110">
        <f t="shared" si="13"/>
        <v>0</v>
      </c>
      <c r="S28" s="110">
        <f t="shared" si="13"/>
        <v>0</v>
      </c>
      <c r="T28" s="110">
        <f t="shared" si="13"/>
        <v>0</v>
      </c>
      <c r="U28" s="110">
        <f t="shared" si="13"/>
        <v>0</v>
      </c>
      <c r="V28" s="110">
        <f t="shared" si="13"/>
        <v>0</v>
      </c>
      <c r="W28" s="64"/>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row>
    <row r="29" spans="1:66" s="2" customFormat="1" x14ac:dyDescent="0.2">
      <c r="B29" s="4">
        <v>1</v>
      </c>
      <c r="C29" s="172" t="s">
        <v>38</v>
      </c>
      <c r="D29" s="105">
        <f t="shared" ref="D29:H29" si="14">+D30+D74</f>
        <v>101909465820.87221</v>
      </c>
      <c r="E29" s="105">
        <f t="shared" si="14"/>
        <v>0</v>
      </c>
      <c r="F29" s="105">
        <f t="shared" si="14"/>
        <v>0</v>
      </c>
      <c r="G29" s="105">
        <f t="shared" si="14"/>
        <v>0</v>
      </c>
      <c r="H29" s="105">
        <f t="shared" si="14"/>
        <v>0</v>
      </c>
      <c r="I29" s="105">
        <f>+I30+I74</f>
        <v>101909465820.87221</v>
      </c>
      <c r="J29" s="105">
        <f t="shared" ref="J29:V29" si="15">+J30+J74</f>
        <v>0</v>
      </c>
      <c r="K29" s="105">
        <f t="shared" si="15"/>
        <v>0</v>
      </c>
      <c r="L29" s="105">
        <f t="shared" si="15"/>
        <v>0</v>
      </c>
      <c r="M29" s="105">
        <f t="shared" si="15"/>
        <v>0</v>
      </c>
      <c r="N29" s="105">
        <f t="shared" si="15"/>
        <v>0</v>
      </c>
      <c r="O29" s="105">
        <f t="shared" si="15"/>
        <v>0</v>
      </c>
      <c r="P29" s="105">
        <f t="shared" si="15"/>
        <v>0</v>
      </c>
      <c r="Q29" s="105">
        <f t="shared" si="15"/>
        <v>0</v>
      </c>
      <c r="R29" s="105">
        <f t="shared" si="15"/>
        <v>0</v>
      </c>
      <c r="S29" s="105">
        <f t="shared" si="15"/>
        <v>0</v>
      </c>
      <c r="T29" s="105">
        <f t="shared" si="15"/>
        <v>0</v>
      </c>
      <c r="U29" s="105">
        <f t="shared" si="15"/>
        <v>0</v>
      </c>
      <c r="V29" s="105">
        <f t="shared" si="15"/>
        <v>0</v>
      </c>
      <c r="W29" s="64"/>
    </row>
    <row r="30" spans="1:66" s="11" customFormat="1" x14ac:dyDescent="0.2">
      <c r="A30" s="155"/>
      <c r="B30" s="13" t="s">
        <v>59</v>
      </c>
      <c r="C30" s="169" t="s">
        <v>15</v>
      </c>
      <c r="D30" s="111">
        <f>+D31+D38+D46+D49+D65+D67+D71+0.01</f>
        <v>11768629792.902225</v>
      </c>
      <c r="E30" s="111">
        <f>+E31+E38+E46+E49+E65+E67+E71</f>
        <v>0</v>
      </c>
      <c r="F30" s="111">
        <f>+F31+F38+F46+F49+F65+F67+F71</f>
        <v>0</v>
      </c>
      <c r="G30" s="111">
        <f>+G31+G38+G46+G49+G65+G67+G71</f>
        <v>0</v>
      </c>
      <c r="H30" s="111">
        <f>+H31+H38+H46+H49+H65+H67+H71</f>
        <v>0</v>
      </c>
      <c r="I30" s="111">
        <f>+D30+E30-F30+G30-H30</f>
        <v>11768629792.902225</v>
      </c>
      <c r="J30" s="111">
        <f>+J31+J38+J46+J49+J65+J67</f>
        <v>0</v>
      </c>
      <c r="K30" s="111">
        <f t="shared" ref="K30:V30" si="16">+K31+K38+K46+K49+K65+K67</f>
        <v>0</v>
      </c>
      <c r="L30" s="111">
        <f t="shared" si="16"/>
        <v>0</v>
      </c>
      <c r="M30" s="111">
        <f t="shared" si="16"/>
        <v>0</v>
      </c>
      <c r="N30" s="111">
        <f t="shared" si="16"/>
        <v>0</v>
      </c>
      <c r="O30" s="111">
        <f t="shared" si="16"/>
        <v>0</v>
      </c>
      <c r="P30" s="111">
        <f t="shared" si="16"/>
        <v>0</v>
      </c>
      <c r="Q30" s="111">
        <f t="shared" si="16"/>
        <v>0</v>
      </c>
      <c r="R30" s="111">
        <f t="shared" si="16"/>
        <v>0</v>
      </c>
      <c r="S30" s="111">
        <f t="shared" si="16"/>
        <v>0</v>
      </c>
      <c r="T30" s="111">
        <f t="shared" si="16"/>
        <v>0</v>
      </c>
      <c r="U30" s="111">
        <f t="shared" si="16"/>
        <v>0</v>
      </c>
      <c r="V30" s="111">
        <f t="shared" si="16"/>
        <v>0</v>
      </c>
      <c r="W30" s="64"/>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row>
    <row r="31" spans="1:66" s="17" customFormat="1" x14ac:dyDescent="0.2">
      <c r="A31" s="154"/>
      <c r="B31" s="23" t="s">
        <v>68</v>
      </c>
      <c r="C31" s="5" t="s">
        <v>69</v>
      </c>
      <c r="D31" s="76">
        <f>SUM(D32:D37)</f>
        <v>5543330440.8199997</v>
      </c>
      <c r="E31" s="76">
        <f>SUM(E32:E37)</f>
        <v>0</v>
      </c>
      <c r="F31" s="76">
        <f>SUM(F32:F37)</f>
        <v>0</v>
      </c>
      <c r="G31" s="76">
        <f>SUM(G32:G37)</f>
        <v>0</v>
      </c>
      <c r="H31" s="76">
        <f>SUM(H32:H37)</f>
        <v>0</v>
      </c>
      <c r="I31" s="76">
        <f>+D31+E31-F31+G31-H31</f>
        <v>5543330440.8199997</v>
      </c>
      <c r="J31" s="76">
        <f>SUM(J32:J37)</f>
        <v>0</v>
      </c>
      <c r="K31" s="76">
        <f t="shared" ref="K31:V31" si="17">SUM(K32:K37)</f>
        <v>0</v>
      </c>
      <c r="L31" s="76">
        <f t="shared" si="17"/>
        <v>0</v>
      </c>
      <c r="M31" s="76">
        <f t="shared" si="17"/>
        <v>0</v>
      </c>
      <c r="N31" s="76">
        <f t="shared" si="17"/>
        <v>0</v>
      </c>
      <c r="O31" s="76">
        <f t="shared" si="17"/>
        <v>0</v>
      </c>
      <c r="P31" s="76">
        <f t="shared" si="17"/>
        <v>0</v>
      </c>
      <c r="Q31" s="76">
        <f t="shared" si="17"/>
        <v>0</v>
      </c>
      <c r="R31" s="76">
        <f t="shared" si="17"/>
        <v>0</v>
      </c>
      <c r="S31" s="76">
        <f t="shared" si="17"/>
        <v>0</v>
      </c>
      <c r="T31" s="76">
        <f t="shared" si="17"/>
        <v>0</v>
      </c>
      <c r="U31" s="76">
        <f t="shared" si="17"/>
        <v>0</v>
      </c>
      <c r="V31" s="76">
        <f t="shared" si="17"/>
        <v>0</v>
      </c>
      <c r="W31" s="64"/>
    </row>
    <row r="32" spans="1:66" s="17" customFormat="1" ht="13.5" x14ac:dyDescent="0.2">
      <c r="A32" s="154"/>
      <c r="B32" s="7" t="s">
        <v>70</v>
      </c>
      <c r="C32" s="175" t="s">
        <v>58</v>
      </c>
      <c r="D32" s="82">
        <v>4472092723</v>
      </c>
      <c r="E32" s="112">
        <v>0</v>
      </c>
      <c r="F32" s="79">
        <v>0</v>
      </c>
      <c r="G32" s="79">
        <v>0</v>
      </c>
      <c r="H32" s="79">
        <v>0</v>
      </c>
      <c r="I32" s="79">
        <f t="shared" ref="I32:I37" si="18">+D32+E32-F32+G32-H32</f>
        <v>4472092723</v>
      </c>
      <c r="J32" s="79">
        <v>0</v>
      </c>
      <c r="K32" s="79">
        <v>0</v>
      </c>
      <c r="L32" s="79">
        <v>0</v>
      </c>
      <c r="M32" s="79">
        <v>0</v>
      </c>
      <c r="N32" s="79">
        <v>0</v>
      </c>
      <c r="O32" s="79">
        <v>0</v>
      </c>
      <c r="P32" s="79">
        <v>0</v>
      </c>
      <c r="Q32" s="79">
        <v>0</v>
      </c>
      <c r="R32" s="79">
        <v>0</v>
      </c>
      <c r="S32" s="79">
        <v>0</v>
      </c>
      <c r="T32" s="79">
        <v>0</v>
      </c>
      <c r="U32" s="79">
        <v>0</v>
      </c>
      <c r="V32" s="79">
        <v>0</v>
      </c>
      <c r="W32" s="64"/>
    </row>
    <row r="33" spans="1:23" s="17" customFormat="1" ht="13.5" x14ac:dyDescent="0.2">
      <c r="A33" s="154"/>
      <c r="B33" s="7" t="s">
        <v>60</v>
      </c>
      <c r="C33" s="176" t="s">
        <v>61</v>
      </c>
      <c r="D33" s="82">
        <v>192346888</v>
      </c>
      <c r="E33" s="112">
        <v>0</v>
      </c>
      <c r="F33" s="79">
        <v>0</v>
      </c>
      <c r="G33" s="79">
        <v>0</v>
      </c>
      <c r="H33" s="79">
        <v>0</v>
      </c>
      <c r="I33" s="118">
        <f t="shared" si="18"/>
        <v>192346888</v>
      </c>
      <c r="J33" s="118">
        <v>0</v>
      </c>
      <c r="K33" s="118">
        <v>0</v>
      </c>
      <c r="L33" s="118">
        <v>0</v>
      </c>
      <c r="M33" s="118">
        <v>0</v>
      </c>
      <c r="N33" s="118">
        <v>0</v>
      </c>
      <c r="O33" s="118">
        <v>0</v>
      </c>
      <c r="P33" s="118">
        <v>0</v>
      </c>
      <c r="Q33" s="118">
        <v>0</v>
      </c>
      <c r="R33" s="118">
        <v>0</v>
      </c>
      <c r="S33" s="118">
        <v>0</v>
      </c>
      <c r="T33" s="118">
        <v>0</v>
      </c>
      <c r="U33" s="118">
        <v>0</v>
      </c>
      <c r="V33" s="118">
        <v>0</v>
      </c>
      <c r="W33" s="64"/>
    </row>
    <row r="34" spans="1:23" s="17" customFormat="1" ht="13.5" x14ac:dyDescent="0.2">
      <c r="A34" s="154"/>
      <c r="B34" s="7" t="s">
        <v>62</v>
      </c>
      <c r="C34" s="176" t="s">
        <v>44</v>
      </c>
      <c r="D34" s="82">
        <v>130827033</v>
      </c>
      <c r="E34" s="112">
        <v>0</v>
      </c>
      <c r="F34" s="79">
        <v>0</v>
      </c>
      <c r="G34" s="79">
        <v>0</v>
      </c>
      <c r="H34" s="79">
        <v>0</v>
      </c>
      <c r="I34" s="79">
        <f t="shared" si="18"/>
        <v>130827033</v>
      </c>
      <c r="J34" s="79">
        <v>0</v>
      </c>
      <c r="K34" s="79">
        <v>0</v>
      </c>
      <c r="L34" s="79">
        <v>0</v>
      </c>
      <c r="M34" s="79">
        <v>0</v>
      </c>
      <c r="N34" s="79">
        <v>0</v>
      </c>
      <c r="O34" s="79">
        <v>0</v>
      </c>
      <c r="P34" s="79">
        <v>0</v>
      </c>
      <c r="Q34" s="79">
        <v>0</v>
      </c>
      <c r="R34" s="79">
        <v>0</v>
      </c>
      <c r="S34" s="79">
        <v>0</v>
      </c>
      <c r="T34" s="79">
        <v>0</v>
      </c>
      <c r="U34" s="79">
        <v>0</v>
      </c>
      <c r="V34" s="79">
        <v>0</v>
      </c>
      <c r="W34" s="64"/>
    </row>
    <row r="35" spans="1:23" s="17" customFormat="1" ht="13.5" x14ac:dyDescent="0.2">
      <c r="A35" s="154"/>
      <c r="B35" s="7" t="s">
        <v>135</v>
      </c>
      <c r="C35" s="176" t="s">
        <v>63</v>
      </c>
      <c r="D35" s="82">
        <v>434116239</v>
      </c>
      <c r="E35" s="112">
        <v>0</v>
      </c>
      <c r="F35" s="79">
        <v>0</v>
      </c>
      <c r="G35" s="79">
        <v>0</v>
      </c>
      <c r="H35" s="79">
        <v>0</v>
      </c>
      <c r="I35" s="118">
        <f t="shared" si="18"/>
        <v>434116239</v>
      </c>
      <c r="J35" s="118">
        <v>0</v>
      </c>
      <c r="K35" s="118">
        <v>0</v>
      </c>
      <c r="L35" s="118">
        <v>0</v>
      </c>
      <c r="M35" s="118">
        <v>0</v>
      </c>
      <c r="N35" s="118">
        <v>0</v>
      </c>
      <c r="O35" s="118">
        <v>0</v>
      </c>
      <c r="P35" s="118">
        <v>0</v>
      </c>
      <c r="Q35" s="118">
        <v>0</v>
      </c>
      <c r="R35" s="118">
        <v>0</v>
      </c>
      <c r="S35" s="118">
        <v>0</v>
      </c>
      <c r="T35" s="118">
        <v>0</v>
      </c>
      <c r="U35" s="118">
        <v>0</v>
      </c>
      <c r="V35" s="118">
        <v>0</v>
      </c>
      <c r="W35" s="64"/>
    </row>
    <row r="36" spans="1:23" s="17" customFormat="1" ht="13.5" x14ac:dyDescent="0.2">
      <c r="A36" s="154"/>
      <c r="B36" s="7" t="s">
        <v>64</v>
      </c>
      <c r="C36" s="176" t="s">
        <v>65</v>
      </c>
      <c r="D36" s="82">
        <v>300542011.81999999</v>
      </c>
      <c r="E36" s="112">
        <v>0</v>
      </c>
      <c r="F36" s="79">
        <v>0</v>
      </c>
      <c r="G36" s="79">
        <v>0</v>
      </c>
      <c r="H36" s="79">
        <v>0</v>
      </c>
      <c r="I36" s="118">
        <f t="shared" si="18"/>
        <v>300542011.81999999</v>
      </c>
      <c r="J36" s="118">
        <v>0</v>
      </c>
      <c r="K36" s="118">
        <v>0</v>
      </c>
      <c r="L36" s="118">
        <v>0</v>
      </c>
      <c r="M36" s="118">
        <v>0</v>
      </c>
      <c r="N36" s="118">
        <v>0</v>
      </c>
      <c r="O36" s="118">
        <v>0</v>
      </c>
      <c r="P36" s="118">
        <v>0</v>
      </c>
      <c r="Q36" s="118">
        <v>0</v>
      </c>
      <c r="R36" s="118">
        <v>0</v>
      </c>
      <c r="S36" s="118">
        <v>0</v>
      </c>
      <c r="T36" s="118">
        <v>0</v>
      </c>
      <c r="U36" s="118">
        <v>0</v>
      </c>
      <c r="V36" s="118">
        <v>0</v>
      </c>
      <c r="W36" s="64"/>
    </row>
    <row r="37" spans="1:23" s="17" customFormat="1" ht="13.5" x14ac:dyDescent="0.2">
      <c r="A37" s="154"/>
      <c r="B37" s="7" t="s">
        <v>66</v>
      </c>
      <c r="C37" s="176" t="s">
        <v>67</v>
      </c>
      <c r="D37" s="82">
        <v>13405546</v>
      </c>
      <c r="E37" s="112">
        <v>0</v>
      </c>
      <c r="F37" s="79">
        <v>0</v>
      </c>
      <c r="G37" s="79">
        <v>0</v>
      </c>
      <c r="H37" s="79">
        <v>0</v>
      </c>
      <c r="I37" s="118">
        <f t="shared" si="18"/>
        <v>13405546</v>
      </c>
      <c r="J37" s="118">
        <v>0</v>
      </c>
      <c r="K37" s="118">
        <v>0</v>
      </c>
      <c r="L37" s="118">
        <v>0</v>
      </c>
      <c r="M37" s="118">
        <v>0</v>
      </c>
      <c r="N37" s="118">
        <v>0</v>
      </c>
      <c r="O37" s="118">
        <v>0</v>
      </c>
      <c r="P37" s="118">
        <v>0</v>
      </c>
      <c r="Q37" s="118">
        <v>0</v>
      </c>
      <c r="R37" s="118">
        <v>0</v>
      </c>
      <c r="S37" s="118">
        <v>0</v>
      </c>
      <c r="T37" s="118">
        <v>0</v>
      </c>
      <c r="U37" s="118">
        <v>0</v>
      </c>
      <c r="V37" s="118">
        <v>0</v>
      </c>
      <c r="W37" s="64"/>
    </row>
    <row r="38" spans="1:23" s="17" customFormat="1" x14ac:dyDescent="0.2">
      <c r="A38" s="154"/>
      <c r="B38" s="23" t="s">
        <v>71</v>
      </c>
      <c r="C38" s="5" t="s">
        <v>72</v>
      </c>
      <c r="D38" s="76">
        <f>SUM(D39:D45)</f>
        <v>2253421642</v>
      </c>
      <c r="E38" s="76">
        <f>SUM(E39:E45)</f>
        <v>0</v>
      </c>
      <c r="F38" s="76">
        <f>SUM(F39:F45)</f>
        <v>0</v>
      </c>
      <c r="G38" s="76">
        <f>SUM(G39:G45)</f>
        <v>0</v>
      </c>
      <c r="H38" s="76">
        <f>SUM(H39:H45)</f>
        <v>0</v>
      </c>
      <c r="I38" s="76">
        <f>+D38+E38-F38+G38-H38</f>
        <v>2253421642</v>
      </c>
      <c r="J38" s="76">
        <f t="shared" ref="J38:V38" si="19">SUM(J39:J45)</f>
        <v>0</v>
      </c>
      <c r="K38" s="76">
        <f t="shared" si="19"/>
        <v>0</v>
      </c>
      <c r="L38" s="76">
        <f t="shared" si="19"/>
        <v>0</v>
      </c>
      <c r="M38" s="76">
        <f t="shared" si="19"/>
        <v>0</v>
      </c>
      <c r="N38" s="76">
        <f t="shared" si="19"/>
        <v>0</v>
      </c>
      <c r="O38" s="76">
        <f t="shared" si="19"/>
        <v>0</v>
      </c>
      <c r="P38" s="76">
        <f t="shared" si="19"/>
        <v>0</v>
      </c>
      <c r="Q38" s="76">
        <f t="shared" si="19"/>
        <v>0</v>
      </c>
      <c r="R38" s="76">
        <f t="shared" si="19"/>
        <v>0</v>
      </c>
      <c r="S38" s="76">
        <f t="shared" si="19"/>
        <v>0</v>
      </c>
      <c r="T38" s="76">
        <f t="shared" si="19"/>
        <v>0</v>
      </c>
      <c r="U38" s="76">
        <f t="shared" si="19"/>
        <v>0</v>
      </c>
      <c r="V38" s="76">
        <f t="shared" si="19"/>
        <v>0</v>
      </c>
      <c r="W38" s="64"/>
    </row>
    <row r="39" spans="1:23" s="17" customFormat="1" ht="13.5" x14ac:dyDescent="0.2">
      <c r="A39" s="154"/>
      <c r="B39" s="7" t="s">
        <v>73</v>
      </c>
      <c r="C39" s="176" t="s">
        <v>74</v>
      </c>
      <c r="D39" s="82">
        <v>653165372</v>
      </c>
      <c r="E39" s="112">
        <v>0</v>
      </c>
      <c r="F39" s="79">
        <v>0</v>
      </c>
      <c r="G39" s="79">
        <v>0</v>
      </c>
      <c r="H39" s="79">
        <v>0</v>
      </c>
      <c r="I39" s="79">
        <f t="shared" ref="I39:I45" si="20">+D39+E39-F39+G39-H39</f>
        <v>653165372</v>
      </c>
      <c r="J39" s="118">
        <v>0</v>
      </c>
      <c r="K39" s="118">
        <v>0</v>
      </c>
      <c r="L39" s="118">
        <v>0</v>
      </c>
      <c r="M39" s="118">
        <v>0</v>
      </c>
      <c r="N39" s="118">
        <v>0</v>
      </c>
      <c r="O39" s="118">
        <v>0</v>
      </c>
      <c r="P39" s="118">
        <v>0</v>
      </c>
      <c r="Q39" s="118">
        <v>0</v>
      </c>
      <c r="R39" s="118">
        <v>0</v>
      </c>
      <c r="S39" s="118">
        <v>0</v>
      </c>
      <c r="T39" s="118">
        <v>0</v>
      </c>
      <c r="U39" s="118">
        <v>0</v>
      </c>
      <c r="V39" s="118">
        <v>0</v>
      </c>
      <c r="W39" s="64"/>
    </row>
    <row r="40" spans="1:23" s="17" customFormat="1" ht="13.5" x14ac:dyDescent="0.2">
      <c r="A40" s="154"/>
      <c r="B40" s="7" t="s">
        <v>75</v>
      </c>
      <c r="C40" s="176" t="s">
        <v>76</v>
      </c>
      <c r="D40" s="82">
        <v>462658805</v>
      </c>
      <c r="E40" s="112">
        <v>0</v>
      </c>
      <c r="F40" s="79">
        <v>0</v>
      </c>
      <c r="G40" s="79">
        <v>0</v>
      </c>
      <c r="H40" s="79">
        <v>0</v>
      </c>
      <c r="I40" s="79">
        <f t="shared" si="20"/>
        <v>462658805</v>
      </c>
      <c r="J40" s="118">
        <v>0</v>
      </c>
      <c r="K40" s="118">
        <v>0</v>
      </c>
      <c r="L40" s="118">
        <v>0</v>
      </c>
      <c r="M40" s="118">
        <v>0</v>
      </c>
      <c r="N40" s="118">
        <v>0</v>
      </c>
      <c r="O40" s="118">
        <v>0</v>
      </c>
      <c r="P40" s="118">
        <v>0</v>
      </c>
      <c r="Q40" s="118">
        <v>0</v>
      </c>
      <c r="R40" s="118">
        <v>0</v>
      </c>
      <c r="S40" s="118">
        <v>0</v>
      </c>
      <c r="T40" s="118">
        <v>0</v>
      </c>
      <c r="U40" s="118">
        <v>0</v>
      </c>
      <c r="V40" s="118">
        <v>0</v>
      </c>
      <c r="W40" s="64"/>
    </row>
    <row r="41" spans="1:23" s="17" customFormat="1" ht="13.5" x14ac:dyDescent="0.2">
      <c r="A41" s="154"/>
      <c r="B41" s="7" t="s">
        <v>77</v>
      </c>
      <c r="C41" s="176" t="s">
        <v>78</v>
      </c>
      <c r="D41" s="82">
        <v>454263685</v>
      </c>
      <c r="E41" s="112">
        <v>0</v>
      </c>
      <c r="F41" s="79">
        <v>0</v>
      </c>
      <c r="G41" s="79">
        <v>0</v>
      </c>
      <c r="H41" s="79">
        <v>0</v>
      </c>
      <c r="I41" s="79">
        <f t="shared" si="20"/>
        <v>454263685</v>
      </c>
      <c r="J41" s="118">
        <v>0</v>
      </c>
      <c r="K41" s="118">
        <v>0</v>
      </c>
      <c r="L41" s="118">
        <v>0</v>
      </c>
      <c r="M41" s="118">
        <v>0</v>
      </c>
      <c r="N41" s="118">
        <v>0</v>
      </c>
      <c r="O41" s="118">
        <v>0</v>
      </c>
      <c r="P41" s="118">
        <v>0</v>
      </c>
      <c r="Q41" s="118">
        <v>0</v>
      </c>
      <c r="R41" s="118">
        <v>0</v>
      </c>
      <c r="S41" s="118">
        <v>0</v>
      </c>
      <c r="T41" s="118">
        <v>0</v>
      </c>
      <c r="U41" s="118">
        <v>0</v>
      </c>
      <c r="V41" s="118">
        <v>0</v>
      </c>
      <c r="W41" s="64"/>
    </row>
    <row r="42" spans="1:23" s="17" customFormat="1" ht="13.5" x14ac:dyDescent="0.2">
      <c r="A42" s="154"/>
      <c r="B42" s="7" t="s">
        <v>79</v>
      </c>
      <c r="C42" s="176" t="s">
        <v>80</v>
      </c>
      <c r="D42" s="82">
        <v>244773871</v>
      </c>
      <c r="E42" s="112">
        <v>0</v>
      </c>
      <c r="F42" s="79">
        <v>0</v>
      </c>
      <c r="G42" s="79">
        <v>0</v>
      </c>
      <c r="H42" s="79">
        <v>0</v>
      </c>
      <c r="I42" s="79">
        <f t="shared" si="20"/>
        <v>244773871</v>
      </c>
      <c r="J42" s="118">
        <v>0</v>
      </c>
      <c r="K42" s="118">
        <v>0</v>
      </c>
      <c r="L42" s="118">
        <v>0</v>
      </c>
      <c r="M42" s="118">
        <v>0</v>
      </c>
      <c r="N42" s="118">
        <v>0</v>
      </c>
      <c r="O42" s="118">
        <v>0</v>
      </c>
      <c r="P42" s="118">
        <v>0</v>
      </c>
      <c r="Q42" s="118">
        <v>0</v>
      </c>
      <c r="R42" s="118">
        <v>0</v>
      </c>
      <c r="S42" s="118">
        <v>0</v>
      </c>
      <c r="T42" s="118">
        <v>0</v>
      </c>
      <c r="U42" s="118">
        <v>0</v>
      </c>
      <c r="V42" s="118">
        <v>0</v>
      </c>
      <c r="W42" s="64"/>
    </row>
    <row r="43" spans="1:23" s="17" customFormat="1" ht="13.5" x14ac:dyDescent="0.2">
      <c r="A43" s="154"/>
      <c r="B43" s="7" t="s">
        <v>81</v>
      </c>
      <c r="C43" s="176" t="s">
        <v>82</v>
      </c>
      <c r="D43" s="82">
        <v>132592571</v>
      </c>
      <c r="E43" s="112">
        <v>0</v>
      </c>
      <c r="F43" s="79">
        <v>0</v>
      </c>
      <c r="G43" s="79">
        <v>0</v>
      </c>
      <c r="H43" s="79">
        <v>0</v>
      </c>
      <c r="I43" s="79">
        <f t="shared" si="20"/>
        <v>132592571</v>
      </c>
      <c r="J43" s="118">
        <v>0</v>
      </c>
      <c r="K43" s="118">
        <v>0</v>
      </c>
      <c r="L43" s="118">
        <v>0</v>
      </c>
      <c r="M43" s="118">
        <v>0</v>
      </c>
      <c r="N43" s="118">
        <v>0</v>
      </c>
      <c r="O43" s="118">
        <v>0</v>
      </c>
      <c r="P43" s="118">
        <v>0</v>
      </c>
      <c r="Q43" s="118">
        <v>0</v>
      </c>
      <c r="R43" s="118">
        <v>0</v>
      </c>
      <c r="S43" s="118">
        <v>0</v>
      </c>
      <c r="T43" s="118">
        <v>0</v>
      </c>
      <c r="U43" s="118">
        <v>0</v>
      </c>
      <c r="V43" s="118">
        <v>0</v>
      </c>
      <c r="W43" s="64"/>
    </row>
    <row r="44" spans="1:23" s="17" customFormat="1" ht="13.5" x14ac:dyDescent="0.2">
      <c r="A44" s="154"/>
      <c r="B44" s="7" t="s">
        <v>83</v>
      </c>
      <c r="C44" s="176" t="s">
        <v>84</v>
      </c>
      <c r="D44" s="82">
        <v>183580403</v>
      </c>
      <c r="E44" s="112">
        <v>0</v>
      </c>
      <c r="F44" s="79">
        <v>0</v>
      </c>
      <c r="G44" s="79">
        <v>0</v>
      </c>
      <c r="H44" s="79">
        <v>0</v>
      </c>
      <c r="I44" s="79">
        <f t="shared" si="20"/>
        <v>183580403</v>
      </c>
      <c r="J44" s="118">
        <v>0</v>
      </c>
      <c r="K44" s="118">
        <v>0</v>
      </c>
      <c r="L44" s="118">
        <v>0</v>
      </c>
      <c r="M44" s="118">
        <v>0</v>
      </c>
      <c r="N44" s="118">
        <v>0</v>
      </c>
      <c r="O44" s="118">
        <v>0</v>
      </c>
      <c r="P44" s="118">
        <v>0</v>
      </c>
      <c r="Q44" s="118">
        <v>0</v>
      </c>
      <c r="R44" s="118">
        <v>0</v>
      </c>
      <c r="S44" s="118">
        <v>0</v>
      </c>
      <c r="T44" s="118">
        <v>0</v>
      </c>
      <c r="U44" s="118">
        <v>0</v>
      </c>
      <c r="V44" s="118">
        <v>0</v>
      </c>
      <c r="W44" s="64"/>
    </row>
    <row r="45" spans="1:23" s="17" customFormat="1" ht="13.5" x14ac:dyDescent="0.2">
      <c r="A45" s="154"/>
      <c r="B45" s="7" t="s">
        <v>85</v>
      </c>
      <c r="C45" s="176" t="s">
        <v>86</v>
      </c>
      <c r="D45" s="82">
        <v>122386935</v>
      </c>
      <c r="E45" s="112">
        <v>0</v>
      </c>
      <c r="F45" s="79">
        <v>0</v>
      </c>
      <c r="G45" s="79">
        <v>0</v>
      </c>
      <c r="H45" s="79">
        <v>0</v>
      </c>
      <c r="I45" s="79">
        <f t="shared" si="20"/>
        <v>122386935</v>
      </c>
      <c r="J45" s="118">
        <v>0</v>
      </c>
      <c r="K45" s="118">
        <v>0</v>
      </c>
      <c r="L45" s="118">
        <v>0</v>
      </c>
      <c r="M45" s="118">
        <v>0</v>
      </c>
      <c r="N45" s="118">
        <v>0</v>
      </c>
      <c r="O45" s="118">
        <v>0</v>
      </c>
      <c r="P45" s="118">
        <v>0</v>
      </c>
      <c r="Q45" s="118">
        <v>0</v>
      </c>
      <c r="R45" s="118">
        <v>0</v>
      </c>
      <c r="S45" s="118">
        <v>0</v>
      </c>
      <c r="T45" s="118">
        <v>0</v>
      </c>
      <c r="U45" s="118">
        <v>0</v>
      </c>
      <c r="V45" s="118">
        <v>0</v>
      </c>
      <c r="W45" s="64"/>
    </row>
    <row r="46" spans="1:23" s="17" customFormat="1" ht="25.5" x14ac:dyDescent="0.2">
      <c r="A46" s="154"/>
      <c r="B46" s="23" t="s">
        <v>87</v>
      </c>
      <c r="C46" s="5" t="s">
        <v>88</v>
      </c>
      <c r="D46" s="76">
        <f>SUM(D47:D48)</f>
        <v>257505524.62222588</v>
      </c>
      <c r="E46" s="76">
        <f>SUM(E47:E48)</f>
        <v>0</v>
      </c>
      <c r="F46" s="76">
        <f>SUM(F47:F48)</f>
        <v>0</v>
      </c>
      <c r="G46" s="76">
        <f>SUM(G47:G48)</f>
        <v>0</v>
      </c>
      <c r="H46" s="76">
        <f>SUM(H47:H48)</f>
        <v>0</v>
      </c>
      <c r="I46" s="76">
        <f>+D46+E46-F46+G46-H46</f>
        <v>257505524.62222588</v>
      </c>
      <c r="J46" s="76">
        <f t="shared" ref="J46:V46" si="21">SUM(J47:J48)</f>
        <v>0</v>
      </c>
      <c r="K46" s="76">
        <f t="shared" si="21"/>
        <v>0</v>
      </c>
      <c r="L46" s="76">
        <f t="shared" si="21"/>
        <v>0</v>
      </c>
      <c r="M46" s="76">
        <f t="shared" si="21"/>
        <v>0</v>
      </c>
      <c r="N46" s="76">
        <f t="shared" si="21"/>
        <v>0</v>
      </c>
      <c r="O46" s="76">
        <f t="shared" si="21"/>
        <v>0</v>
      </c>
      <c r="P46" s="76">
        <f t="shared" si="21"/>
        <v>0</v>
      </c>
      <c r="Q46" s="76">
        <f t="shared" si="21"/>
        <v>0</v>
      </c>
      <c r="R46" s="76">
        <f t="shared" si="21"/>
        <v>0</v>
      </c>
      <c r="S46" s="76">
        <f t="shared" si="21"/>
        <v>0</v>
      </c>
      <c r="T46" s="76">
        <f t="shared" si="21"/>
        <v>0</v>
      </c>
      <c r="U46" s="76">
        <f t="shared" si="21"/>
        <v>0</v>
      </c>
      <c r="V46" s="76">
        <f t="shared" si="21"/>
        <v>0</v>
      </c>
      <c r="W46" s="64"/>
    </row>
    <row r="47" spans="1:23" s="17" customFormat="1" ht="13.5" x14ac:dyDescent="0.2">
      <c r="A47" s="154"/>
      <c r="B47" s="7" t="s">
        <v>89</v>
      </c>
      <c r="C47" s="176" t="s">
        <v>90</v>
      </c>
      <c r="D47" s="82">
        <v>212650541.93446589</v>
      </c>
      <c r="E47" s="112">
        <v>0</v>
      </c>
      <c r="F47" s="79">
        <v>0</v>
      </c>
      <c r="G47" s="79">
        <v>0</v>
      </c>
      <c r="H47" s="79">
        <v>0</v>
      </c>
      <c r="I47" s="79">
        <f>+D47+E47-F47+G47-H47</f>
        <v>212650541.93446589</v>
      </c>
      <c r="J47" s="118">
        <v>0</v>
      </c>
      <c r="K47" s="118">
        <v>0</v>
      </c>
      <c r="L47" s="118">
        <v>0</v>
      </c>
      <c r="M47" s="118">
        <v>0</v>
      </c>
      <c r="N47" s="118">
        <v>0</v>
      </c>
      <c r="O47" s="118">
        <v>0</v>
      </c>
      <c r="P47" s="118">
        <v>0</v>
      </c>
      <c r="Q47" s="118">
        <v>0</v>
      </c>
      <c r="R47" s="118">
        <v>0</v>
      </c>
      <c r="S47" s="118">
        <v>0</v>
      </c>
      <c r="T47" s="118">
        <v>0</v>
      </c>
      <c r="U47" s="118">
        <v>0</v>
      </c>
      <c r="V47" s="118">
        <v>0</v>
      </c>
      <c r="W47" s="64"/>
    </row>
    <row r="48" spans="1:23" s="17" customFormat="1" ht="13.5" x14ac:dyDescent="0.2">
      <c r="A48" s="154"/>
      <c r="B48" s="7" t="s">
        <v>91</v>
      </c>
      <c r="C48" s="176" t="s">
        <v>92</v>
      </c>
      <c r="D48" s="82">
        <v>44854982.68776001</v>
      </c>
      <c r="E48" s="112">
        <v>0</v>
      </c>
      <c r="F48" s="79">
        <v>0</v>
      </c>
      <c r="G48" s="79">
        <v>0</v>
      </c>
      <c r="H48" s="79">
        <v>0</v>
      </c>
      <c r="I48" s="79">
        <f>+D48+E48-F48+G48-H48</f>
        <v>44854982.68776001</v>
      </c>
      <c r="J48" s="118">
        <v>0</v>
      </c>
      <c r="K48" s="118">
        <v>0</v>
      </c>
      <c r="L48" s="118">
        <v>0</v>
      </c>
      <c r="M48" s="118">
        <v>0</v>
      </c>
      <c r="N48" s="118">
        <v>0</v>
      </c>
      <c r="O48" s="118">
        <v>0</v>
      </c>
      <c r="P48" s="118">
        <v>0</v>
      </c>
      <c r="Q48" s="118">
        <v>0</v>
      </c>
      <c r="R48" s="118">
        <v>0</v>
      </c>
      <c r="S48" s="118">
        <v>0</v>
      </c>
      <c r="T48" s="118">
        <v>0</v>
      </c>
      <c r="U48" s="118">
        <v>0</v>
      </c>
      <c r="V48" s="118">
        <v>0</v>
      </c>
      <c r="W48" s="64"/>
    </row>
    <row r="49" spans="1:23" s="12" customFormat="1" x14ac:dyDescent="0.2">
      <c r="A49" s="154"/>
      <c r="B49" s="24" t="s">
        <v>93</v>
      </c>
      <c r="C49" s="27" t="s">
        <v>105</v>
      </c>
      <c r="D49" s="74">
        <f>+D50+D54+D57</f>
        <v>3273372185.4499998</v>
      </c>
      <c r="E49" s="74">
        <f>+E50+E54+E57</f>
        <v>0</v>
      </c>
      <c r="F49" s="74">
        <f>+F50+F54+F57</f>
        <v>0</v>
      </c>
      <c r="G49" s="74">
        <f>+G50+G54+G57</f>
        <v>0</v>
      </c>
      <c r="H49" s="74">
        <f>+H50+H54+H57</f>
        <v>0</v>
      </c>
      <c r="I49" s="74">
        <f t="shared" ref="I49:I75" si="22">+D49+E49-F49+G49-H49</f>
        <v>3273372185.4499998</v>
      </c>
      <c r="J49" s="74">
        <f>+J50+J54+J57</f>
        <v>0</v>
      </c>
      <c r="K49" s="74">
        <f t="shared" ref="K49:V49" si="23">+K50+K54+K57</f>
        <v>0</v>
      </c>
      <c r="L49" s="74">
        <f t="shared" si="23"/>
        <v>0</v>
      </c>
      <c r="M49" s="74">
        <f t="shared" si="23"/>
        <v>0</v>
      </c>
      <c r="N49" s="74">
        <f t="shared" si="23"/>
        <v>0</v>
      </c>
      <c r="O49" s="74">
        <f t="shared" si="23"/>
        <v>0</v>
      </c>
      <c r="P49" s="74">
        <f t="shared" si="23"/>
        <v>0</v>
      </c>
      <c r="Q49" s="74">
        <f t="shared" si="23"/>
        <v>0</v>
      </c>
      <c r="R49" s="74">
        <f t="shared" si="23"/>
        <v>0</v>
      </c>
      <c r="S49" s="74">
        <f t="shared" si="23"/>
        <v>0</v>
      </c>
      <c r="T49" s="74">
        <f t="shared" si="23"/>
        <v>0</v>
      </c>
      <c r="U49" s="74">
        <f t="shared" si="23"/>
        <v>0</v>
      </c>
      <c r="V49" s="74">
        <f t="shared" si="23"/>
        <v>0</v>
      </c>
      <c r="W49" s="64"/>
    </row>
    <row r="50" spans="1:23" s="17" customFormat="1" x14ac:dyDescent="0.2">
      <c r="A50" s="154"/>
      <c r="B50" s="23" t="s">
        <v>94</v>
      </c>
      <c r="C50" s="5" t="s">
        <v>95</v>
      </c>
      <c r="D50" s="76">
        <f>+D51+D52+D53</f>
        <v>790000000</v>
      </c>
      <c r="E50" s="76">
        <f t="shared" ref="E50:I50" si="24">+E51+E52+E53</f>
        <v>0</v>
      </c>
      <c r="F50" s="76">
        <f t="shared" si="24"/>
        <v>0</v>
      </c>
      <c r="G50" s="76">
        <f t="shared" si="24"/>
        <v>0</v>
      </c>
      <c r="H50" s="76">
        <f t="shared" si="24"/>
        <v>0</v>
      </c>
      <c r="I50" s="76">
        <f t="shared" si="24"/>
        <v>790000000</v>
      </c>
      <c r="J50" s="76">
        <f>J51+J52+J53</f>
        <v>0</v>
      </c>
      <c r="K50" s="76">
        <f t="shared" ref="K50:V50" si="25">K51+K52+K53</f>
        <v>0</v>
      </c>
      <c r="L50" s="76">
        <f t="shared" si="25"/>
        <v>0</v>
      </c>
      <c r="M50" s="76">
        <f t="shared" si="25"/>
        <v>0</v>
      </c>
      <c r="N50" s="76">
        <f t="shared" si="25"/>
        <v>0</v>
      </c>
      <c r="O50" s="76">
        <f t="shared" si="25"/>
        <v>0</v>
      </c>
      <c r="P50" s="76">
        <f t="shared" si="25"/>
        <v>0</v>
      </c>
      <c r="Q50" s="76">
        <f t="shared" si="25"/>
        <v>0</v>
      </c>
      <c r="R50" s="76">
        <f t="shared" si="25"/>
        <v>0</v>
      </c>
      <c r="S50" s="76">
        <f t="shared" si="25"/>
        <v>0</v>
      </c>
      <c r="T50" s="76">
        <f t="shared" si="25"/>
        <v>0</v>
      </c>
      <c r="U50" s="76">
        <f t="shared" si="25"/>
        <v>0</v>
      </c>
      <c r="V50" s="76">
        <f t="shared" si="25"/>
        <v>0</v>
      </c>
      <c r="W50" s="64"/>
    </row>
    <row r="51" spans="1:23" s="17" customFormat="1" ht="25.5" x14ac:dyDescent="0.2">
      <c r="A51" s="154"/>
      <c r="B51" s="7" t="s">
        <v>117</v>
      </c>
      <c r="C51" s="176" t="s">
        <v>118</v>
      </c>
      <c r="D51" s="82">
        <v>40000000</v>
      </c>
      <c r="E51" s="79">
        <v>0</v>
      </c>
      <c r="F51" s="79">
        <v>0</v>
      </c>
      <c r="G51" s="79">
        <v>0</v>
      </c>
      <c r="H51" s="79">
        <v>0</v>
      </c>
      <c r="I51" s="79">
        <f t="shared" si="22"/>
        <v>40000000</v>
      </c>
      <c r="J51" s="118">
        <v>0</v>
      </c>
      <c r="K51" s="118">
        <v>0</v>
      </c>
      <c r="L51" s="118">
        <v>0</v>
      </c>
      <c r="M51" s="118">
        <v>0</v>
      </c>
      <c r="N51" s="118">
        <v>0</v>
      </c>
      <c r="O51" s="118">
        <v>0</v>
      </c>
      <c r="P51" s="118">
        <v>0</v>
      </c>
      <c r="Q51" s="118">
        <v>0</v>
      </c>
      <c r="R51" s="118">
        <v>0</v>
      </c>
      <c r="S51" s="118">
        <v>0</v>
      </c>
      <c r="T51" s="118">
        <v>0</v>
      </c>
      <c r="U51" s="118">
        <v>0</v>
      </c>
      <c r="V51" s="118">
        <v>0</v>
      </c>
      <c r="W51" s="64"/>
    </row>
    <row r="52" spans="1:23" s="17" customFormat="1" ht="25.5" x14ac:dyDescent="0.2">
      <c r="A52" s="154"/>
      <c r="B52" s="92" t="s">
        <v>204</v>
      </c>
      <c r="C52" s="176" t="s">
        <v>118</v>
      </c>
      <c r="D52" s="82">
        <v>350000000</v>
      </c>
      <c r="E52" s="79">
        <v>0</v>
      </c>
      <c r="F52" s="79">
        <v>0</v>
      </c>
      <c r="G52" s="79">
        <v>0</v>
      </c>
      <c r="H52" s="79">
        <v>0</v>
      </c>
      <c r="I52" s="79">
        <f t="shared" si="22"/>
        <v>350000000</v>
      </c>
      <c r="J52" s="118">
        <v>0</v>
      </c>
      <c r="K52" s="118">
        <v>0</v>
      </c>
      <c r="L52" s="118">
        <v>0</v>
      </c>
      <c r="M52" s="118">
        <v>0</v>
      </c>
      <c r="N52" s="118">
        <v>0</v>
      </c>
      <c r="O52" s="118">
        <v>0</v>
      </c>
      <c r="P52" s="118">
        <v>0</v>
      </c>
      <c r="Q52" s="118">
        <v>0</v>
      </c>
      <c r="R52" s="118">
        <v>0</v>
      </c>
      <c r="S52" s="118">
        <v>0</v>
      </c>
      <c r="T52" s="118">
        <v>0</v>
      </c>
      <c r="U52" s="118">
        <v>0</v>
      </c>
      <c r="V52" s="118">
        <v>0</v>
      </c>
      <c r="W52" s="64"/>
    </row>
    <row r="53" spans="1:23" s="17" customFormat="1" ht="27" x14ac:dyDescent="0.2">
      <c r="A53" s="154"/>
      <c r="B53" s="97" t="s">
        <v>205</v>
      </c>
      <c r="C53" s="177" t="s">
        <v>206</v>
      </c>
      <c r="D53" s="82">
        <v>400000000</v>
      </c>
      <c r="E53" s="79">
        <v>0</v>
      </c>
      <c r="F53" s="79">
        <v>0</v>
      </c>
      <c r="G53" s="79">
        <v>0</v>
      </c>
      <c r="H53" s="79">
        <v>0</v>
      </c>
      <c r="I53" s="79">
        <f t="shared" si="22"/>
        <v>400000000</v>
      </c>
      <c r="J53" s="118">
        <v>0</v>
      </c>
      <c r="K53" s="118">
        <v>0</v>
      </c>
      <c r="L53" s="118">
        <v>0</v>
      </c>
      <c r="M53" s="118">
        <v>0</v>
      </c>
      <c r="N53" s="118">
        <v>0</v>
      </c>
      <c r="O53" s="118">
        <v>0</v>
      </c>
      <c r="P53" s="118">
        <v>0</v>
      </c>
      <c r="Q53" s="118">
        <v>0</v>
      </c>
      <c r="R53" s="118">
        <v>0</v>
      </c>
      <c r="S53" s="118">
        <v>0</v>
      </c>
      <c r="T53" s="118">
        <v>0</v>
      </c>
      <c r="U53" s="118">
        <v>0</v>
      </c>
      <c r="V53" s="118">
        <v>0</v>
      </c>
      <c r="W53" s="64"/>
    </row>
    <row r="54" spans="1:23" s="17" customFormat="1" x14ac:dyDescent="0.2">
      <c r="A54" s="154"/>
      <c r="B54" s="23" t="s">
        <v>97</v>
      </c>
      <c r="C54" s="5" t="s">
        <v>98</v>
      </c>
      <c r="D54" s="76">
        <f>SUM(D55+D56)</f>
        <v>158464000</v>
      </c>
      <c r="E54" s="76">
        <f t="shared" ref="E54:I54" si="26">SUM(E55+E56)</f>
        <v>0</v>
      </c>
      <c r="F54" s="76">
        <f t="shared" si="26"/>
        <v>0</v>
      </c>
      <c r="G54" s="76">
        <f t="shared" si="26"/>
        <v>0</v>
      </c>
      <c r="H54" s="76">
        <f t="shared" si="26"/>
        <v>0</v>
      </c>
      <c r="I54" s="76">
        <f t="shared" si="26"/>
        <v>158464000</v>
      </c>
      <c r="J54" s="76">
        <f>J55+J56</f>
        <v>0</v>
      </c>
      <c r="K54" s="76">
        <f t="shared" ref="K54:V54" si="27">K55+K56</f>
        <v>0</v>
      </c>
      <c r="L54" s="76">
        <f t="shared" si="27"/>
        <v>0</v>
      </c>
      <c r="M54" s="76">
        <f t="shared" si="27"/>
        <v>0</v>
      </c>
      <c r="N54" s="76">
        <f t="shared" si="27"/>
        <v>0</v>
      </c>
      <c r="O54" s="76">
        <f t="shared" si="27"/>
        <v>0</v>
      </c>
      <c r="P54" s="76">
        <f t="shared" si="27"/>
        <v>0</v>
      </c>
      <c r="Q54" s="76">
        <f t="shared" si="27"/>
        <v>0</v>
      </c>
      <c r="R54" s="76">
        <f t="shared" si="27"/>
        <v>0</v>
      </c>
      <c r="S54" s="76">
        <f t="shared" si="27"/>
        <v>0</v>
      </c>
      <c r="T54" s="76">
        <f t="shared" si="27"/>
        <v>0</v>
      </c>
      <c r="U54" s="76">
        <f t="shared" si="27"/>
        <v>0</v>
      </c>
      <c r="V54" s="76">
        <f t="shared" si="27"/>
        <v>0</v>
      </c>
      <c r="W54" s="64"/>
    </row>
    <row r="55" spans="1:23" s="17" customFormat="1" ht="25.5" x14ac:dyDescent="0.2">
      <c r="A55" s="154"/>
      <c r="B55" s="7" t="s">
        <v>111</v>
      </c>
      <c r="C55" s="176" t="s">
        <v>96</v>
      </c>
      <c r="D55" s="82">
        <v>143464000</v>
      </c>
      <c r="E55" s="112">
        <v>0</v>
      </c>
      <c r="F55" s="79">
        <v>0</v>
      </c>
      <c r="G55" s="79">
        <v>0</v>
      </c>
      <c r="H55" s="79">
        <v>0</v>
      </c>
      <c r="I55" s="79">
        <f>+D55+E55-F55+G55-H55</f>
        <v>143464000</v>
      </c>
      <c r="J55" s="118">
        <v>0</v>
      </c>
      <c r="K55" s="118">
        <v>0</v>
      </c>
      <c r="L55" s="118">
        <v>0</v>
      </c>
      <c r="M55" s="118">
        <v>0</v>
      </c>
      <c r="N55" s="118">
        <v>0</v>
      </c>
      <c r="O55" s="118">
        <v>0</v>
      </c>
      <c r="P55" s="118">
        <v>0</v>
      </c>
      <c r="Q55" s="118">
        <v>0</v>
      </c>
      <c r="R55" s="118">
        <v>0</v>
      </c>
      <c r="S55" s="118">
        <v>0</v>
      </c>
      <c r="T55" s="118">
        <v>0</v>
      </c>
      <c r="U55" s="118">
        <v>0</v>
      </c>
      <c r="V55" s="118">
        <v>0</v>
      </c>
      <c r="W55" s="64"/>
    </row>
    <row r="56" spans="1:23" s="17" customFormat="1" ht="25.5" x14ac:dyDescent="0.2">
      <c r="A56" s="154"/>
      <c r="B56" s="92" t="s">
        <v>207</v>
      </c>
      <c r="C56" s="176" t="s">
        <v>96</v>
      </c>
      <c r="D56" s="82">
        <v>15000000</v>
      </c>
      <c r="E56" s="112">
        <v>0</v>
      </c>
      <c r="F56" s="79">
        <v>0</v>
      </c>
      <c r="G56" s="79">
        <v>0</v>
      </c>
      <c r="H56" s="79">
        <v>0</v>
      </c>
      <c r="I56" s="79">
        <f>+D56+E56-F56+G56-H56</f>
        <v>15000000</v>
      </c>
      <c r="J56" s="118">
        <v>0</v>
      </c>
      <c r="K56" s="118">
        <v>0</v>
      </c>
      <c r="L56" s="118">
        <v>0</v>
      </c>
      <c r="M56" s="118">
        <v>0</v>
      </c>
      <c r="N56" s="118">
        <v>0</v>
      </c>
      <c r="O56" s="118">
        <v>0</v>
      </c>
      <c r="P56" s="118">
        <v>0</v>
      </c>
      <c r="Q56" s="118">
        <v>0</v>
      </c>
      <c r="R56" s="118">
        <v>0</v>
      </c>
      <c r="S56" s="118">
        <v>0</v>
      </c>
      <c r="T56" s="118">
        <v>0</v>
      </c>
      <c r="U56" s="118">
        <v>0</v>
      </c>
      <c r="V56" s="118">
        <v>0</v>
      </c>
      <c r="W56" s="64"/>
    </row>
    <row r="57" spans="1:23" s="12" customFormat="1" x14ac:dyDescent="0.2">
      <c r="A57" s="154"/>
      <c r="B57" s="23" t="s">
        <v>99</v>
      </c>
      <c r="C57" s="5" t="s">
        <v>100</v>
      </c>
      <c r="D57" s="76">
        <f>SUM(D58:D64)</f>
        <v>2324908185.4499998</v>
      </c>
      <c r="E57" s="76">
        <f t="shared" ref="E57:I57" si="28">SUM(E58:E64)</f>
        <v>0</v>
      </c>
      <c r="F57" s="76">
        <f t="shared" si="28"/>
        <v>0</v>
      </c>
      <c r="G57" s="76">
        <f t="shared" si="28"/>
        <v>0</v>
      </c>
      <c r="H57" s="76">
        <f t="shared" si="28"/>
        <v>0</v>
      </c>
      <c r="I57" s="76">
        <f t="shared" si="28"/>
        <v>2324908185.4499998</v>
      </c>
      <c r="J57" s="76">
        <f>J58+J59+J60+J61+J62+J63+J64</f>
        <v>0</v>
      </c>
      <c r="K57" s="76">
        <f t="shared" ref="K57:V57" si="29">K58+K59+K60+K61+K62+K63+K64</f>
        <v>0</v>
      </c>
      <c r="L57" s="76">
        <f t="shared" si="29"/>
        <v>0</v>
      </c>
      <c r="M57" s="76">
        <f t="shared" si="29"/>
        <v>0</v>
      </c>
      <c r="N57" s="76">
        <f t="shared" si="29"/>
        <v>0</v>
      </c>
      <c r="O57" s="76">
        <f t="shared" si="29"/>
        <v>0</v>
      </c>
      <c r="P57" s="76">
        <f t="shared" si="29"/>
        <v>0</v>
      </c>
      <c r="Q57" s="76">
        <f t="shared" si="29"/>
        <v>0</v>
      </c>
      <c r="R57" s="76">
        <f t="shared" si="29"/>
        <v>0</v>
      </c>
      <c r="S57" s="76">
        <f t="shared" si="29"/>
        <v>0</v>
      </c>
      <c r="T57" s="76">
        <f t="shared" si="29"/>
        <v>0</v>
      </c>
      <c r="U57" s="76">
        <f t="shared" si="29"/>
        <v>0</v>
      </c>
      <c r="V57" s="76">
        <f t="shared" si="29"/>
        <v>0</v>
      </c>
      <c r="W57" s="64"/>
    </row>
    <row r="58" spans="1:23" s="17" customFormat="1" ht="38.25" x14ac:dyDescent="0.2">
      <c r="A58" s="154"/>
      <c r="B58" s="7" t="s">
        <v>119</v>
      </c>
      <c r="C58" s="6" t="s">
        <v>112</v>
      </c>
      <c r="D58" s="79">
        <v>0</v>
      </c>
      <c r="E58" s="79">
        <v>0</v>
      </c>
      <c r="F58" s="79">
        <v>0</v>
      </c>
      <c r="G58" s="79">
        <v>0</v>
      </c>
      <c r="H58" s="79">
        <v>0</v>
      </c>
      <c r="I58" s="79">
        <f t="shared" si="22"/>
        <v>0</v>
      </c>
      <c r="J58" s="118">
        <v>0</v>
      </c>
      <c r="K58" s="118">
        <v>0</v>
      </c>
      <c r="L58" s="118">
        <v>0</v>
      </c>
      <c r="M58" s="118">
        <v>0</v>
      </c>
      <c r="N58" s="118">
        <v>0</v>
      </c>
      <c r="O58" s="118">
        <v>0</v>
      </c>
      <c r="P58" s="118">
        <v>0</v>
      </c>
      <c r="Q58" s="118">
        <v>0</v>
      </c>
      <c r="R58" s="118">
        <v>0</v>
      </c>
      <c r="S58" s="118">
        <v>0</v>
      </c>
      <c r="T58" s="118">
        <v>0</v>
      </c>
      <c r="U58" s="118">
        <v>0</v>
      </c>
      <c r="V58" s="118">
        <v>0</v>
      </c>
      <c r="W58" s="64"/>
    </row>
    <row r="59" spans="1:23" s="17" customFormat="1" ht="25.5" x14ac:dyDescent="0.2">
      <c r="A59" s="154"/>
      <c r="B59" s="7" t="s">
        <v>113</v>
      </c>
      <c r="C59" s="6" t="s">
        <v>101</v>
      </c>
      <c r="D59" s="79">
        <v>892000000</v>
      </c>
      <c r="E59" s="79">
        <v>0</v>
      </c>
      <c r="F59" s="79">
        <v>0</v>
      </c>
      <c r="G59" s="79">
        <v>0</v>
      </c>
      <c r="H59" s="79">
        <v>0</v>
      </c>
      <c r="I59" s="79">
        <f t="shared" si="22"/>
        <v>892000000</v>
      </c>
      <c r="J59" s="118">
        <v>0</v>
      </c>
      <c r="K59" s="118">
        <v>0</v>
      </c>
      <c r="L59" s="118">
        <v>0</v>
      </c>
      <c r="M59" s="118">
        <v>0</v>
      </c>
      <c r="N59" s="118">
        <v>0</v>
      </c>
      <c r="O59" s="118">
        <v>0</v>
      </c>
      <c r="P59" s="118">
        <v>0</v>
      </c>
      <c r="Q59" s="118">
        <v>0</v>
      </c>
      <c r="R59" s="118">
        <v>0</v>
      </c>
      <c r="S59" s="118">
        <v>0</v>
      </c>
      <c r="T59" s="118">
        <v>0</v>
      </c>
      <c r="U59" s="118">
        <v>0</v>
      </c>
      <c r="V59" s="118">
        <v>0</v>
      </c>
      <c r="W59" s="64"/>
    </row>
    <row r="60" spans="1:23" s="17" customFormat="1" ht="25.5" x14ac:dyDescent="0.2">
      <c r="A60" s="154"/>
      <c r="B60" s="92" t="s">
        <v>208</v>
      </c>
      <c r="C60" s="6" t="s">
        <v>101</v>
      </c>
      <c r="D60" s="79">
        <v>100000000</v>
      </c>
      <c r="E60" s="79">
        <v>0</v>
      </c>
      <c r="F60" s="79">
        <v>0</v>
      </c>
      <c r="G60" s="79">
        <v>0</v>
      </c>
      <c r="H60" s="79">
        <v>0</v>
      </c>
      <c r="I60" s="79">
        <f t="shared" si="22"/>
        <v>100000000</v>
      </c>
      <c r="J60" s="118">
        <v>0</v>
      </c>
      <c r="K60" s="118">
        <v>0</v>
      </c>
      <c r="L60" s="118">
        <v>0</v>
      </c>
      <c r="M60" s="118">
        <v>0</v>
      </c>
      <c r="N60" s="118">
        <v>0</v>
      </c>
      <c r="O60" s="118">
        <v>0</v>
      </c>
      <c r="P60" s="118">
        <v>0</v>
      </c>
      <c r="Q60" s="118">
        <v>0</v>
      </c>
      <c r="R60" s="118">
        <v>0</v>
      </c>
      <c r="S60" s="118">
        <v>0</v>
      </c>
      <c r="T60" s="118">
        <v>0</v>
      </c>
      <c r="U60" s="118">
        <v>0</v>
      </c>
      <c r="V60" s="118">
        <v>0</v>
      </c>
      <c r="W60" s="64"/>
    </row>
    <row r="61" spans="1:23" s="17" customFormat="1" ht="25.5" x14ac:dyDescent="0.2">
      <c r="A61" s="154"/>
      <c r="B61" s="7" t="s">
        <v>114</v>
      </c>
      <c r="C61" s="6" t="s">
        <v>102</v>
      </c>
      <c r="D61" s="79">
        <v>958798392.54999995</v>
      </c>
      <c r="E61" s="79">
        <v>0</v>
      </c>
      <c r="F61" s="79">
        <v>0</v>
      </c>
      <c r="G61" s="79">
        <v>0</v>
      </c>
      <c r="H61" s="79">
        <v>0</v>
      </c>
      <c r="I61" s="79">
        <f t="shared" si="22"/>
        <v>958798392.54999995</v>
      </c>
      <c r="J61" s="118">
        <v>0</v>
      </c>
      <c r="K61" s="118">
        <v>0</v>
      </c>
      <c r="L61" s="118">
        <v>0</v>
      </c>
      <c r="M61" s="118">
        <v>0</v>
      </c>
      <c r="N61" s="118">
        <v>0</v>
      </c>
      <c r="O61" s="118">
        <v>0</v>
      </c>
      <c r="P61" s="118">
        <v>0</v>
      </c>
      <c r="Q61" s="118">
        <v>0</v>
      </c>
      <c r="R61" s="118">
        <v>0</v>
      </c>
      <c r="S61" s="118">
        <v>0</v>
      </c>
      <c r="T61" s="118">
        <v>0</v>
      </c>
      <c r="U61" s="118">
        <v>0</v>
      </c>
      <c r="V61" s="118">
        <v>0</v>
      </c>
      <c r="W61" s="64"/>
    </row>
    <row r="62" spans="1:23" s="17" customFormat="1" ht="25.5" x14ac:dyDescent="0.2">
      <c r="A62" s="154"/>
      <c r="B62" s="92" t="s">
        <v>190</v>
      </c>
      <c r="C62" s="6" t="s">
        <v>102</v>
      </c>
      <c r="D62" s="79">
        <v>295629792.89999998</v>
      </c>
      <c r="E62" s="79">
        <v>0</v>
      </c>
      <c r="F62" s="79">
        <v>0</v>
      </c>
      <c r="G62" s="79">
        <v>0</v>
      </c>
      <c r="H62" s="79">
        <v>0</v>
      </c>
      <c r="I62" s="79">
        <f t="shared" si="22"/>
        <v>295629792.89999998</v>
      </c>
      <c r="J62" s="118">
        <v>0</v>
      </c>
      <c r="K62" s="118">
        <v>0</v>
      </c>
      <c r="L62" s="118">
        <v>0</v>
      </c>
      <c r="M62" s="118">
        <v>0</v>
      </c>
      <c r="N62" s="118">
        <v>0</v>
      </c>
      <c r="O62" s="118">
        <v>0</v>
      </c>
      <c r="P62" s="118">
        <v>0</v>
      </c>
      <c r="Q62" s="118">
        <v>0</v>
      </c>
      <c r="R62" s="118">
        <v>0</v>
      </c>
      <c r="S62" s="118">
        <v>0</v>
      </c>
      <c r="T62" s="118">
        <v>0</v>
      </c>
      <c r="U62" s="118">
        <v>0</v>
      </c>
      <c r="V62" s="118">
        <v>0</v>
      </c>
      <c r="W62" s="64"/>
    </row>
    <row r="63" spans="1:23" s="17" customFormat="1" x14ac:dyDescent="0.2">
      <c r="A63" s="154"/>
      <c r="B63" s="7" t="s">
        <v>120</v>
      </c>
      <c r="C63" s="6" t="s">
        <v>57</v>
      </c>
      <c r="D63" s="79">
        <v>18480000</v>
      </c>
      <c r="E63" s="79">
        <v>0</v>
      </c>
      <c r="F63" s="79">
        <v>0</v>
      </c>
      <c r="G63" s="79">
        <v>0</v>
      </c>
      <c r="H63" s="79">
        <v>0</v>
      </c>
      <c r="I63" s="79">
        <f t="shared" si="22"/>
        <v>18480000</v>
      </c>
      <c r="J63" s="118">
        <v>0</v>
      </c>
      <c r="K63" s="118">
        <v>0</v>
      </c>
      <c r="L63" s="118">
        <v>0</v>
      </c>
      <c r="M63" s="118">
        <v>0</v>
      </c>
      <c r="N63" s="118">
        <v>0</v>
      </c>
      <c r="O63" s="118">
        <v>0</v>
      </c>
      <c r="P63" s="118">
        <v>0</v>
      </c>
      <c r="Q63" s="118">
        <v>0</v>
      </c>
      <c r="R63" s="118">
        <v>0</v>
      </c>
      <c r="S63" s="118">
        <v>0</v>
      </c>
      <c r="T63" s="118">
        <v>0</v>
      </c>
      <c r="U63" s="118">
        <v>0</v>
      </c>
      <c r="V63" s="118">
        <v>0</v>
      </c>
      <c r="W63" s="64"/>
    </row>
    <row r="64" spans="1:23" s="17" customFormat="1" x14ac:dyDescent="0.2">
      <c r="A64" s="154"/>
      <c r="B64" s="7" t="s">
        <v>209</v>
      </c>
      <c r="C64" s="6" t="s">
        <v>210</v>
      </c>
      <c r="D64" s="79">
        <v>60000000</v>
      </c>
      <c r="E64" s="79">
        <v>0</v>
      </c>
      <c r="F64" s="79">
        <v>0</v>
      </c>
      <c r="G64" s="79">
        <v>0</v>
      </c>
      <c r="H64" s="79">
        <v>0</v>
      </c>
      <c r="I64" s="79">
        <f t="shared" si="22"/>
        <v>60000000</v>
      </c>
      <c r="J64" s="118"/>
      <c r="K64" s="118"/>
      <c r="L64" s="118"/>
      <c r="M64" s="118"/>
      <c r="N64" s="118"/>
      <c r="O64" s="118"/>
      <c r="P64" s="118"/>
      <c r="Q64" s="118"/>
      <c r="R64" s="118"/>
      <c r="S64" s="118"/>
      <c r="T64" s="118"/>
      <c r="U64" s="118"/>
      <c r="V64" s="118"/>
      <c r="W64" s="64"/>
    </row>
    <row r="65" spans="1:66" s="12" customFormat="1" x14ac:dyDescent="0.2">
      <c r="A65" s="154"/>
      <c r="B65" s="24" t="s">
        <v>124</v>
      </c>
      <c r="C65" s="27" t="s">
        <v>125</v>
      </c>
      <c r="D65" s="74">
        <f>D66</f>
        <v>300000000</v>
      </c>
      <c r="E65" s="74">
        <v>0</v>
      </c>
      <c r="F65" s="74">
        <f>F66</f>
        <v>0</v>
      </c>
      <c r="G65" s="74">
        <f>G66</f>
        <v>0</v>
      </c>
      <c r="H65" s="74">
        <f>H66</f>
        <v>0</v>
      </c>
      <c r="I65" s="74">
        <f t="shared" si="22"/>
        <v>300000000</v>
      </c>
      <c r="J65" s="74">
        <f>+J66</f>
        <v>0</v>
      </c>
      <c r="K65" s="74">
        <f t="shared" ref="K65:V65" si="30">+K66</f>
        <v>0</v>
      </c>
      <c r="L65" s="74">
        <f t="shared" si="30"/>
        <v>0</v>
      </c>
      <c r="M65" s="74">
        <f t="shared" si="30"/>
        <v>0</v>
      </c>
      <c r="N65" s="74">
        <f t="shared" si="30"/>
        <v>0</v>
      </c>
      <c r="O65" s="74">
        <f t="shared" si="30"/>
        <v>0</v>
      </c>
      <c r="P65" s="74">
        <f t="shared" si="30"/>
        <v>0</v>
      </c>
      <c r="Q65" s="74">
        <f t="shared" si="30"/>
        <v>0</v>
      </c>
      <c r="R65" s="74">
        <f t="shared" si="30"/>
        <v>0</v>
      </c>
      <c r="S65" s="74">
        <f t="shared" si="30"/>
        <v>0</v>
      </c>
      <c r="T65" s="74">
        <f t="shared" si="30"/>
        <v>0</v>
      </c>
      <c r="U65" s="74">
        <f t="shared" si="30"/>
        <v>0</v>
      </c>
      <c r="V65" s="74">
        <f t="shared" si="30"/>
        <v>0</v>
      </c>
      <c r="W65" s="64"/>
    </row>
    <row r="66" spans="1:66" s="12" customFormat="1" x14ac:dyDescent="0.2">
      <c r="A66" s="154"/>
      <c r="B66" s="7" t="s">
        <v>126</v>
      </c>
      <c r="C66" s="6" t="s">
        <v>127</v>
      </c>
      <c r="D66" s="79">
        <v>300000000</v>
      </c>
      <c r="E66" s="72">
        <v>0</v>
      </c>
      <c r="F66" s="72">
        <v>0</v>
      </c>
      <c r="G66" s="72">
        <v>0</v>
      </c>
      <c r="H66" s="72">
        <v>0</v>
      </c>
      <c r="I66" s="95">
        <f t="shared" si="22"/>
        <v>300000000</v>
      </c>
      <c r="J66" s="72">
        <v>0</v>
      </c>
      <c r="K66" s="83">
        <v>0</v>
      </c>
      <c r="L66" s="83">
        <v>0</v>
      </c>
      <c r="M66" s="83">
        <v>0</v>
      </c>
      <c r="N66" s="83">
        <v>0</v>
      </c>
      <c r="O66" s="83">
        <v>0</v>
      </c>
      <c r="P66" s="83">
        <v>0</v>
      </c>
      <c r="Q66" s="83">
        <v>0</v>
      </c>
      <c r="R66" s="83">
        <v>0</v>
      </c>
      <c r="S66" s="83">
        <v>0</v>
      </c>
      <c r="T66" s="83">
        <v>0</v>
      </c>
      <c r="U66" s="83">
        <v>0</v>
      </c>
      <c r="V66" s="83">
        <v>0</v>
      </c>
      <c r="W66" s="64"/>
    </row>
    <row r="67" spans="1:66" s="12" customFormat="1" ht="25.5" x14ac:dyDescent="0.2">
      <c r="A67" s="154"/>
      <c r="B67" s="24" t="s">
        <v>103</v>
      </c>
      <c r="C67" s="27" t="s">
        <v>104</v>
      </c>
      <c r="D67" s="74">
        <f>+D68+D69+D70</f>
        <v>141000000</v>
      </c>
      <c r="E67" s="74">
        <f>SUM(E68:E68)</f>
        <v>0</v>
      </c>
      <c r="F67" s="74">
        <f>SUM(F68:F68)</f>
        <v>0</v>
      </c>
      <c r="G67" s="74">
        <f>SUM(G68:G68)</f>
        <v>0</v>
      </c>
      <c r="H67" s="74">
        <f>SUM(H68:H68)</f>
        <v>0</v>
      </c>
      <c r="I67" s="74">
        <f t="shared" si="22"/>
        <v>141000000</v>
      </c>
      <c r="J67" s="74">
        <f>J68+J69+J70</f>
        <v>0</v>
      </c>
      <c r="K67" s="74">
        <f t="shared" ref="K67:V67" si="31">K68+K69+K70</f>
        <v>0</v>
      </c>
      <c r="L67" s="74">
        <f t="shared" si="31"/>
        <v>0</v>
      </c>
      <c r="M67" s="74">
        <f t="shared" si="31"/>
        <v>0</v>
      </c>
      <c r="N67" s="74">
        <f t="shared" si="31"/>
        <v>0</v>
      </c>
      <c r="O67" s="74">
        <f t="shared" si="31"/>
        <v>0</v>
      </c>
      <c r="P67" s="74">
        <f t="shared" si="31"/>
        <v>0</v>
      </c>
      <c r="Q67" s="74">
        <f t="shared" si="31"/>
        <v>0</v>
      </c>
      <c r="R67" s="74">
        <f t="shared" si="31"/>
        <v>0</v>
      </c>
      <c r="S67" s="74">
        <f t="shared" si="31"/>
        <v>0</v>
      </c>
      <c r="T67" s="74">
        <f t="shared" si="31"/>
        <v>0</v>
      </c>
      <c r="U67" s="74">
        <f t="shared" si="31"/>
        <v>0</v>
      </c>
      <c r="V67" s="74">
        <f t="shared" si="31"/>
        <v>0</v>
      </c>
      <c r="W67" s="64"/>
    </row>
    <row r="68" spans="1:66" s="17" customFormat="1" x14ac:dyDescent="0.2">
      <c r="A68" s="154"/>
      <c r="B68" s="7" t="s">
        <v>116</v>
      </c>
      <c r="C68" s="6" t="s">
        <v>115</v>
      </c>
      <c r="D68" s="79">
        <v>20000000</v>
      </c>
      <c r="E68" s="79">
        <v>0</v>
      </c>
      <c r="F68" s="79">
        <v>0</v>
      </c>
      <c r="G68" s="79">
        <v>0</v>
      </c>
      <c r="H68" s="79">
        <v>0</v>
      </c>
      <c r="I68" s="79">
        <f t="shared" si="22"/>
        <v>20000000</v>
      </c>
      <c r="J68" s="79"/>
      <c r="K68" s="79"/>
      <c r="L68" s="79"/>
      <c r="M68" s="79"/>
      <c r="N68" s="79"/>
      <c r="O68" s="79"/>
      <c r="P68" s="79"/>
      <c r="Q68" s="79"/>
      <c r="R68" s="79"/>
      <c r="S68" s="79"/>
      <c r="T68" s="79"/>
      <c r="U68" s="79"/>
      <c r="V68" s="79"/>
      <c r="W68" s="64"/>
    </row>
    <row r="69" spans="1:66" s="17" customFormat="1" x14ac:dyDescent="0.2">
      <c r="A69" s="154"/>
      <c r="B69" s="92" t="s">
        <v>191</v>
      </c>
      <c r="C69" s="6" t="s">
        <v>115</v>
      </c>
      <c r="D69" s="79">
        <v>100000000</v>
      </c>
      <c r="E69" s="79">
        <v>0</v>
      </c>
      <c r="F69" s="79">
        <v>0</v>
      </c>
      <c r="G69" s="79">
        <v>0</v>
      </c>
      <c r="H69" s="79">
        <v>0</v>
      </c>
      <c r="I69" s="79">
        <f t="shared" si="22"/>
        <v>100000000</v>
      </c>
      <c r="J69" s="79">
        <v>0</v>
      </c>
      <c r="K69" s="79">
        <v>0</v>
      </c>
      <c r="L69" s="79">
        <v>0</v>
      </c>
      <c r="M69" s="79">
        <v>0</v>
      </c>
      <c r="N69" s="79">
        <v>0</v>
      </c>
      <c r="O69" s="79">
        <v>0</v>
      </c>
      <c r="P69" s="79">
        <v>0</v>
      </c>
      <c r="Q69" s="79">
        <v>0</v>
      </c>
      <c r="R69" s="79">
        <v>0</v>
      </c>
      <c r="S69" s="79">
        <v>0</v>
      </c>
      <c r="T69" s="79">
        <v>0</v>
      </c>
      <c r="U69" s="79">
        <v>0</v>
      </c>
      <c r="V69" s="79">
        <v>0</v>
      </c>
      <c r="W69" s="64"/>
    </row>
    <row r="70" spans="1:66" s="17" customFormat="1" x14ac:dyDescent="0.2">
      <c r="A70" s="154"/>
      <c r="B70" s="7" t="s">
        <v>122</v>
      </c>
      <c r="C70" s="6" t="s">
        <v>123</v>
      </c>
      <c r="D70" s="79">
        <v>21000000</v>
      </c>
      <c r="E70" s="79"/>
      <c r="F70" s="79"/>
      <c r="G70" s="79"/>
      <c r="H70" s="79"/>
      <c r="I70" s="79">
        <f t="shared" si="22"/>
        <v>21000000</v>
      </c>
      <c r="J70" s="79">
        <v>0</v>
      </c>
      <c r="K70" s="79">
        <v>0</v>
      </c>
      <c r="L70" s="79">
        <v>0</v>
      </c>
      <c r="M70" s="79">
        <v>0</v>
      </c>
      <c r="N70" s="79">
        <v>0</v>
      </c>
      <c r="O70" s="79">
        <v>0</v>
      </c>
      <c r="P70" s="79">
        <v>0</v>
      </c>
      <c r="Q70" s="79">
        <v>0</v>
      </c>
      <c r="R70" s="79">
        <v>0</v>
      </c>
      <c r="S70" s="79">
        <v>0</v>
      </c>
      <c r="T70" s="79">
        <v>0</v>
      </c>
      <c r="U70" s="79">
        <v>0</v>
      </c>
      <c r="V70" s="79">
        <v>0</v>
      </c>
      <c r="W70" s="64"/>
    </row>
    <row r="71" spans="1:66" s="12" customFormat="1" x14ac:dyDescent="0.2">
      <c r="A71" s="154"/>
      <c r="B71" s="4"/>
      <c r="C71" s="172" t="s">
        <v>121</v>
      </c>
      <c r="D71" s="72">
        <v>0</v>
      </c>
      <c r="E71" s="72">
        <f>E72+E73</f>
        <v>0</v>
      </c>
      <c r="F71" s="72">
        <f>F72+F73</f>
        <v>0</v>
      </c>
      <c r="G71" s="72">
        <f>G72+G73</f>
        <v>0</v>
      </c>
      <c r="H71" s="72">
        <f>H72+H73</f>
        <v>0</v>
      </c>
      <c r="I71" s="72">
        <f t="shared" si="22"/>
        <v>0</v>
      </c>
      <c r="J71" s="72">
        <f t="shared" ref="J71:V71" si="32">J72+J73</f>
        <v>0</v>
      </c>
      <c r="K71" s="72">
        <f t="shared" si="32"/>
        <v>0</v>
      </c>
      <c r="L71" s="72">
        <f t="shared" si="32"/>
        <v>0</v>
      </c>
      <c r="M71" s="72">
        <f t="shared" si="32"/>
        <v>0</v>
      </c>
      <c r="N71" s="72">
        <f t="shared" si="32"/>
        <v>0</v>
      </c>
      <c r="O71" s="72">
        <f t="shared" si="32"/>
        <v>0</v>
      </c>
      <c r="P71" s="72">
        <f t="shared" si="32"/>
        <v>0</v>
      </c>
      <c r="Q71" s="72">
        <f t="shared" si="32"/>
        <v>0</v>
      </c>
      <c r="R71" s="72">
        <f t="shared" si="32"/>
        <v>0</v>
      </c>
      <c r="S71" s="72">
        <f t="shared" si="32"/>
        <v>0</v>
      </c>
      <c r="T71" s="72">
        <f t="shared" si="32"/>
        <v>0</v>
      </c>
      <c r="U71" s="72">
        <f t="shared" si="32"/>
        <v>0</v>
      </c>
      <c r="V71" s="72">
        <f t="shared" si="32"/>
        <v>0</v>
      </c>
      <c r="W71" s="64"/>
    </row>
    <row r="72" spans="1:66" s="12" customFormat="1" x14ac:dyDescent="0.2">
      <c r="A72" s="154"/>
      <c r="B72" s="25"/>
      <c r="C72" s="6" t="s">
        <v>16</v>
      </c>
      <c r="D72" s="113">
        <v>0</v>
      </c>
      <c r="E72" s="113">
        <v>0</v>
      </c>
      <c r="F72" s="113">
        <v>0</v>
      </c>
      <c r="G72" s="113">
        <v>0</v>
      </c>
      <c r="H72" s="113">
        <v>0</v>
      </c>
      <c r="I72" s="72">
        <f t="shared" si="22"/>
        <v>0</v>
      </c>
      <c r="J72" s="124">
        <v>0</v>
      </c>
      <c r="K72" s="124">
        <v>0</v>
      </c>
      <c r="L72" s="124">
        <v>0</v>
      </c>
      <c r="M72" s="124">
        <v>0</v>
      </c>
      <c r="N72" s="124">
        <v>0</v>
      </c>
      <c r="O72" s="124">
        <v>0</v>
      </c>
      <c r="P72" s="124">
        <v>0</v>
      </c>
      <c r="Q72" s="124">
        <v>0</v>
      </c>
      <c r="R72" s="124">
        <v>0</v>
      </c>
      <c r="S72" s="124">
        <v>0</v>
      </c>
      <c r="T72" s="124">
        <v>0</v>
      </c>
      <c r="U72" s="124">
        <v>0</v>
      </c>
      <c r="V72" s="124">
        <v>0</v>
      </c>
      <c r="W72" s="64"/>
    </row>
    <row r="73" spans="1:66" s="10" customFormat="1" x14ac:dyDescent="0.2">
      <c r="A73" s="153"/>
      <c r="B73" s="19"/>
      <c r="C73" s="170" t="s">
        <v>17</v>
      </c>
      <c r="D73" s="114">
        <v>0</v>
      </c>
      <c r="E73" s="114">
        <v>0</v>
      </c>
      <c r="F73" s="114">
        <v>0</v>
      </c>
      <c r="G73" s="114">
        <v>0</v>
      </c>
      <c r="H73" s="114">
        <v>0</v>
      </c>
      <c r="I73" s="111">
        <f t="shared" si="22"/>
        <v>0</v>
      </c>
      <c r="J73" s="125">
        <v>0</v>
      </c>
      <c r="K73" s="125">
        <v>0</v>
      </c>
      <c r="L73" s="125">
        <v>0</v>
      </c>
      <c r="M73" s="125">
        <v>0</v>
      </c>
      <c r="N73" s="125">
        <v>0</v>
      </c>
      <c r="O73" s="125">
        <v>0</v>
      </c>
      <c r="P73" s="125">
        <v>0</v>
      </c>
      <c r="Q73" s="125">
        <v>0</v>
      </c>
      <c r="R73" s="125">
        <v>0</v>
      </c>
      <c r="S73" s="125">
        <v>0</v>
      </c>
      <c r="T73" s="125">
        <v>0</v>
      </c>
      <c r="U73" s="125">
        <v>0</v>
      </c>
      <c r="V73" s="125">
        <v>0</v>
      </c>
      <c r="W73" s="64"/>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row>
    <row r="74" spans="1:66" s="26" customFormat="1" ht="32.25" customHeight="1" x14ac:dyDescent="0.2">
      <c r="A74" s="157"/>
      <c r="B74" s="4" t="s">
        <v>52</v>
      </c>
      <c r="C74" s="172" t="s">
        <v>18</v>
      </c>
      <c r="D74" s="72">
        <f>+D75+D90+D97+D106+D110</f>
        <v>90140836027.969986</v>
      </c>
      <c r="E74" s="72">
        <f t="shared" ref="E74:I74" si="33">+E75+E90+E97+E106+E110</f>
        <v>0</v>
      </c>
      <c r="F74" s="72">
        <f t="shared" si="33"/>
        <v>0</v>
      </c>
      <c r="G74" s="72">
        <f t="shared" si="33"/>
        <v>0</v>
      </c>
      <c r="H74" s="72">
        <f t="shared" si="33"/>
        <v>0</v>
      </c>
      <c r="I74" s="72">
        <f t="shared" si="33"/>
        <v>90140836027.969986</v>
      </c>
      <c r="J74" s="72">
        <f>+J75+J90+J97+J106+J110</f>
        <v>0</v>
      </c>
      <c r="K74" s="72">
        <f t="shared" ref="K74:V74" si="34">+K75+K90+K97+K106+K110</f>
        <v>0</v>
      </c>
      <c r="L74" s="72">
        <f t="shared" si="34"/>
        <v>0</v>
      </c>
      <c r="M74" s="72">
        <f t="shared" si="34"/>
        <v>0</v>
      </c>
      <c r="N74" s="72">
        <f t="shared" si="34"/>
        <v>0</v>
      </c>
      <c r="O74" s="72">
        <f t="shared" si="34"/>
        <v>0</v>
      </c>
      <c r="P74" s="72">
        <f t="shared" si="34"/>
        <v>0</v>
      </c>
      <c r="Q74" s="72">
        <f t="shared" si="34"/>
        <v>0</v>
      </c>
      <c r="R74" s="72">
        <f t="shared" si="34"/>
        <v>0</v>
      </c>
      <c r="S74" s="72">
        <f t="shared" si="34"/>
        <v>0</v>
      </c>
      <c r="T74" s="72">
        <f t="shared" si="34"/>
        <v>0</v>
      </c>
      <c r="U74" s="72">
        <f t="shared" si="34"/>
        <v>0</v>
      </c>
      <c r="V74" s="72">
        <f t="shared" si="34"/>
        <v>0</v>
      </c>
      <c r="W74" s="64"/>
    </row>
    <row r="75" spans="1:66" s="28" customFormat="1" x14ac:dyDescent="0.2">
      <c r="A75" s="158"/>
      <c r="B75" s="24" t="s">
        <v>143</v>
      </c>
      <c r="C75" s="27" t="s">
        <v>51</v>
      </c>
      <c r="D75" s="74">
        <f>D76+D79+D81+D84+D87</f>
        <v>8248505682.5699997</v>
      </c>
      <c r="E75" s="74">
        <f t="shared" ref="E75:H75" si="35">E76+E79+E81+E84+E87</f>
        <v>0</v>
      </c>
      <c r="F75" s="74">
        <f t="shared" si="35"/>
        <v>0</v>
      </c>
      <c r="G75" s="74">
        <f t="shared" si="35"/>
        <v>0</v>
      </c>
      <c r="H75" s="74">
        <f t="shared" si="35"/>
        <v>0</v>
      </c>
      <c r="I75" s="74">
        <f t="shared" si="22"/>
        <v>8248505682.5699997</v>
      </c>
      <c r="J75" s="75">
        <f>+J76+J79+J81+J84+J87</f>
        <v>0</v>
      </c>
      <c r="K75" s="75">
        <f t="shared" ref="K75:V75" si="36">+K76+K79+K81+K84+K87</f>
        <v>0</v>
      </c>
      <c r="L75" s="75">
        <f t="shared" si="36"/>
        <v>0</v>
      </c>
      <c r="M75" s="75">
        <f t="shared" si="36"/>
        <v>0</v>
      </c>
      <c r="N75" s="75">
        <f t="shared" si="36"/>
        <v>0</v>
      </c>
      <c r="O75" s="75">
        <f t="shared" si="36"/>
        <v>0</v>
      </c>
      <c r="P75" s="75">
        <f t="shared" si="36"/>
        <v>0</v>
      </c>
      <c r="Q75" s="75">
        <f t="shared" si="36"/>
        <v>0</v>
      </c>
      <c r="R75" s="75">
        <f t="shared" si="36"/>
        <v>0</v>
      </c>
      <c r="S75" s="75">
        <f t="shared" si="36"/>
        <v>0</v>
      </c>
      <c r="T75" s="75">
        <f t="shared" si="36"/>
        <v>0</v>
      </c>
      <c r="U75" s="75">
        <f t="shared" si="36"/>
        <v>0</v>
      </c>
      <c r="V75" s="75">
        <f t="shared" si="36"/>
        <v>0</v>
      </c>
      <c r="W75" s="64"/>
    </row>
    <row r="76" spans="1:66" s="29" customFormat="1" ht="97.5" customHeight="1" x14ac:dyDescent="0.2">
      <c r="A76" s="158"/>
      <c r="B76" s="23" t="s">
        <v>137</v>
      </c>
      <c r="C76" s="5" t="s">
        <v>229</v>
      </c>
      <c r="D76" s="76">
        <f>SUM(D77:D78)</f>
        <v>2380952380.9499998</v>
      </c>
      <c r="E76" s="77">
        <f>SUM(E77:E77)</f>
        <v>0</v>
      </c>
      <c r="F76" s="77">
        <f>SUM(F77:F77)</f>
        <v>0</v>
      </c>
      <c r="G76" s="77">
        <f>SUM(G77:G77)</f>
        <v>0</v>
      </c>
      <c r="H76" s="77">
        <f>SUM(H77:H77)</f>
        <v>0</v>
      </c>
      <c r="I76" s="76">
        <f>+D76+E76-F76+G76-H76</f>
        <v>2380952380.9499998</v>
      </c>
      <c r="J76" s="78">
        <f t="shared" ref="J76:V76" si="37">SUM(J77:J78)</f>
        <v>0</v>
      </c>
      <c r="K76" s="78">
        <f t="shared" si="37"/>
        <v>0</v>
      </c>
      <c r="L76" s="78">
        <f t="shared" si="37"/>
        <v>0</v>
      </c>
      <c r="M76" s="78">
        <f t="shared" si="37"/>
        <v>0</v>
      </c>
      <c r="N76" s="78">
        <f t="shared" si="37"/>
        <v>0</v>
      </c>
      <c r="O76" s="78">
        <f t="shared" si="37"/>
        <v>0</v>
      </c>
      <c r="P76" s="78">
        <f t="shared" si="37"/>
        <v>0</v>
      </c>
      <c r="Q76" s="78">
        <f t="shared" si="37"/>
        <v>0</v>
      </c>
      <c r="R76" s="78">
        <f t="shared" si="37"/>
        <v>0</v>
      </c>
      <c r="S76" s="78">
        <f t="shared" si="37"/>
        <v>0</v>
      </c>
      <c r="T76" s="78">
        <f t="shared" si="37"/>
        <v>0</v>
      </c>
      <c r="U76" s="78">
        <f t="shared" si="37"/>
        <v>0</v>
      </c>
      <c r="V76" s="78">
        <f t="shared" si="37"/>
        <v>0</v>
      </c>
      <c r="W76" s="64"/>
    </row>
    <row r="77" spans="1:66" s="29" customFormat="1" x14ac:dyDescent="0.2">
      <c r="A77" s="158"/>
      <c r="B77" s="7" t="s">
        <v>138</v>
      </c>
      <c r="C77" s="6" t="s">
        <v>107</v>
      </c>
      <c r="D77" s="80">
        <v>1690476190.48</v>
      </c>
      <c r="E77" s="79">
        <v>0</v>
      </c>
      <c r="F77" s="79">
        <v>0</v>
      </c>
      <c r="G77" s="79">
        <v>0</v>
      </c>
      <c r="H77" s="79">
        <v>0</v>
      </c>
      <c r="I77" s="80">
        <f t="shared" ref="I77:I101" si="38">+D77+E77-F77+G77-H77</f>
        <v>1690476190.48</v>
      </c>
      <c r="J77" s="79">
        <v>0</v>
      </c>
      <c r="K77" s="79">
        <v>0</v>
      </c>
      <c r="L77" s="79">
        <v>0</v>
      </c>
      <c r="M77" s="79">
        <v>0</v>
      </c>
      <c r="N77" s="79">
        <v>0</v>
      </c>
      <c r="O77" s="79">
        <v>0</v>
      </c>
      <c r="P77" s="79">
        <v>0</v>
      </c>
      <c r="Q77" s="79">
        <v>0</v>
      </c>
      <c r="R77" s="79">
        <v>0</v>
      </c>
      <c r="S77" s="79">
        <v>0</v>
      </c>
      <c r="T77" s="79">
        <v>0</v>
      </c>
      <c r="U77" s="79">
        <v>0</v>
      </c>
      <c r="V77" s="79">
        <v>0</v>
      </c>
      <c r="W77" s="64"/>
    </row>
    <row r="78" spans="1:66" s="29" customFormat="1" ht="35.25" customHeight="1" x14ac:dyDescent="0.2">
      <c r="A78" s="158"/>
      <c r="B78" s="7" t="s">
        <v>140</v>
      </c>
      <c r="C78" s="6" t="s">
        <v>53</v>
      </c>
      <c r="D78" s="80">
        <v>690476190.47000003</v>
      </c>
      <c r="E78" s="79"/>
      <c r="F78" s="79"/>
      <c r="G78" s="79"/>
      <c r="H78" s="79"/>
      <c r="I78" s="80">
        <f t="shared" si="38"/>
        <v>690476190.47000003</v>
      </c>
      <c r="J78" s="79">
        <v>0</v>
      </c>
      <c r="K78" s="79">
        <v>0</v>
      </c>
      <c r="L78" s="79">
        <v>0</v>
      </c>
      <c r="M78" s="79">
        <v>0</v>
      </c>
      <c r="N78" s="79">
        <v>0</v>
      </c>
      <c r="O78" s="79">
        <v>0</v>
      </c>
      <c r="P78" s="79">
        <v>0</v>
      </c>
      <c r="Q78" s="79">
        <v>0</v>
      </c>
      <c r="R78" s="79">
        <v>0</v>
      </c>
      <c r="S78" s="79">
        <v>0</v>
      </c>
      <c r="T78" s="79">
        <v>0</v>
      </c>
      <c r="U78" s="79">
        <v>0</v>
      </c>
      <c r="V78" s="79">
        <v>0</v>
      </c>
      <c r="W78" s="64"/>
    </row>
    <row r="79" spans="1:66" s="29" customFormat="1" ht="90.75" customHeight="1" x14ac:dyDescent="0.2">
      <c r="A79" s="158"/>
      <c r="B79" s="23" t="s">
        <v>139</v>
      </c>
      <c r="C79" s="5" t="s">
        <v>230</v>
      </c>
      <c r="D79" s="76">
        <f>SUM(D80:D80)</f>
        <v>437764030.12</v>
      </c>
      <c r="E79" s="76">
        <f>SUM(E80:E80)</f>
        <v>0</v>
      </c>
      <c r="F79" s="76">
        <f>SUM(F80:F80)</f>
        <v>0</v>
      </c>
      <c r="G79" s="76">
        <f>SUM(G80:G80)</f>
        <v>0</v>
      </c>
      <c r="H79" s="76">
        <f>SUM(H80:H80)</f>
        <v>0</v>
      </c>
      <c r="I79" s="76">
        <f t="shared" si="38"/>
        <v>437764030.12</v>
      </c>
      <c r="J79" s="81">
        <f>+J80</f>
        <v>0</v>
      </c>
      <c r="K79" s="81">
        <f t="shared" ref="K79:V79" si="39">+K80</f>
        <v>0</v>
      </c>
      <c r="L79" s="81">
        <f t="shared" si="39"/>
        <v>0</v>
      </c>
      <c r="M79" s="81">
        <f t="shared" si="39"/>
        <v>0</v>
      </c>
      <c r="N79" s="81">
        <f t="shared" si="39"/>
        <v>0</v>
      </c>
      <c r="O79" s="81">
        <f t="shared" si="39"/>
        <v>0</v>
      </c>
      <c r="P79" s="81">
        <f t="shared" si="39"/>
        <v>0</v>
      </c>
      <c r="Q79" s="81">
        <f t="shared" si="39"/>
        <v>0</v>
      </c>
      <c r="R79" s="81">
        <f t="shared" si="39"/>
        <v>0</v>
      </c>
      <c r="S79" s="81">
        <f t="shared" si="39"/>
        <v>0</v>
      </c>
      <c r="T79" s="81">
        <f t="shared" si="39"/>
        <v>0</v>
      </c>
      <c r="U79" s="81">
        <f t="shared" si="39"/>
        <v>0</v>
      </c>
      <c r="V79" s="81">
        <f t="shared" si="39"/>
        <v>0</v>
      </c>
      <c r="W79" s="64"/>
    </row>
    <row r="80" spans="1:66" s="29" customFormat="1" ht="29.25" customHeight="1" x14ac:dyDescent="0.2">
      <c r="A80" s="158"/>
      <c r="B80" s="7" t="s">
        <v>140</v>
      </c>
      <c r="C80" s="98" t="s">
        <v>53</v>
      </c>
      <c r="D80" s="82">
        <v>437764030.12</v>
      </c>
      <c r="E80" s="79">
        <v>0</v>
      </c>
      <c r="F80" s="79">
        <v>0</v>
      </c>
      <c r="G80" s="79">
        <v>0</v>
      </c>
      <c r="H80" s="79">
        <v>0</v>
      </c>
      <c r="I80" s="80">
        <f t="shared" si="38"/>
        <v>437764030.12</v>
      </c>
      <c r="J80" s="79">
        <v>0</v>
      </c>
      <c r="K80" s="83">
        <v>0</v>
      </c>
      <c r="L80" s="83">
        <v>0</v>
      </c>
      <c r="M80" s="83">
        <v>0</v>
      </c>
      <c r="N80" s="83">
        <v>0</v>
      </c>
      <c r="O80" s="83">
        <v>0</v>
      </c>
      <c r="P80" s="83">
        <v>0</v>
      </c>
      <c r="Q80" s="83">
        <v>0</v>
      </c>
      <c r="R80" s="83">
        <v>0</v>
      </c>
      <c r="S80" s="83">
        <v>0</v>
      </c>
      <c r="T80" s="83">
        <v>0</v>
      </c>
      <c r="U80" s="83">
        <v>0</v>
      </c>
      <c r="V80" s="83">
        <v>0</v>
      </c>
      <c r="W80" s="64"/>
      <c r="Z80" s="64"/>
      <c r="AA80" s="64"/>
      <c r="AB80" s="64"/>
      <c r="AC80" s="64"/>
      <c r="AD80" s="64"/>
      <c r="AE80" s="64"/>
      <c r="AF80" s="64"/>
    </row>
    <row r="81" spans="1:32" s="29" customFormat="1" ht="90.75" customHeight="1" x14ac:dyDescent="0.2">
      <c r="A81" s="158"/>
      <c r="B81" s="23" t="s">
        <v>192</v>
      </c>
      <c r="C81" s="5" t="s">
        <v>211</v>
      </c>
      <c r="D81" s="76">
        <f>D82+D83</f>
        <v>1777653047.8999999</v>
      </c>
      <c r="E81" s="76">
        <f>SUM(E83:E90)</f>
        <v>0</v>
      </c>
      <c r="F81" s="76">
        <f>SUM(F83:F90)</f>
        <v>0</v>
      </c>
      <c r="G81" s="76">
        <f>SUM(G83:G90)</f>
        <v>0</v>
      </c>
      <c r="H81" s="76">
        <f>SUM(H83:H90)</f>
        <v>0</v>
      </c>
      <c r="I81" s="76">
        <f t="shared" si="38"/>
        <v>1777653047.8999999</v>
      </c>
      <c r="J81" s="81">
        <f>J82+J83</f>
        <v>0</v>
      </c>
      <c r="K81" s="81">
        <f t="shared" ref="K81:V81" si="40">K82+K83</f>
        <v>0</v>
      </c>
      <c r="L81" s="81">
        <f t="shared" si="40"/>
        <v>0</v>
      </c>
      <c r="M81" s="81">
        <f t="shared" si="40"/>
        <v>0</v>
      </c>
      <c r="N81" s="81">
        <f t="shared" si="40"/>
        <v>0</v>
      </c>
      <c r="O81" s="81">
        <f t="shared" si="40"/>
        <v>0</v>
      </c>
      <c r="P81" s="81">
        <f t="shared" si="40"/>
        <v>0</v>
      </c>
      <c r="Q81" s="81">
        <f t="shared" si="40"/>
        <v>0</v>
      </c>
      <c r="R81" s="81">
        <f t="shared" si="40"/>
        <v>0</v>
      </c>
      <c r="S81" s="81">
        <f t="shared" si="40"/>
        <v>0</v>
      </c>
      <c r="T81" s="81">
        <f t="shared" si="40"/>
        <v>0</v>
      </c>
      <c r="U81" s="81">
        <f t="shared" si="40"/>
        <v>0</v>
      </c>
      <c r="V81" s="81">
        <f t="shared" si="40"/>
        <v>0</v>
      </c>
      <c r="W81" s="64"/>
    </row>
    <row r="82" spans="1:32" s="29" customFormat="1" ht="13.5" customHeight="1" x14ac:dyDescent="0.2">
      <c r="A82" s="158"/>
      <c r="B82" s="92" t="s">
        <v>225</v>
      </c>
      <c r="C82" s="6" t="s">
        <v>107</v>
      </c>
      <c r="D82" s="82">
        <v>1633397231.5999999</v>
      </c>
      <c r="E82" s="79">
        <v>0</v>
      </c>
      <c r="F82" s="79">
        <v>0</v>
      </c>
      <c r="G82" s="79">
        <v>0</v>
      </c>
      <c r="H82" s="79">
        <v>0</v>
      </c>
      <c r="I82" s="80">
        <f t="shared" si="38"/>
        <v>1633397231.5999999</v>
      </c>
      <c r="J82" s="79">
        <v>0</v>
      </c>
      <c r="K82" s="79">
        <v>0</v>
      </c>
      <c r="L82" s="79">
        <v>0</v>
      </c>
      <c r="M82" s="79">
        <v>0</v>
      </c>
      <c r="N82" s="79">
        <v>0</v>
      </c>
      <c r="O82" s="79">
        <v>0</v>
      </c>
      <c r="P82" s="79">
        <v>0</v>
      </c>
      <c r="Q82" s="79">
        <v>0</v>
      </c>
      <c r="R82" s="79">
        <v>0</v>
      </c>
      <c r="S82" s="79">
        <v>0</v>
      </c>
      <c r="T82" s="79">
        <v>0</v>
      </c>
      <c r="U82" s="79">
        <v>0</v>
      </c>
      <c r="V82" s="79">
        <v>0</v>
      </c>
      <c r="W82" s="64"/>
      <c r="Z82" s="64"/>
      <c r="AA82" s="64"/>
      <c r="AB82" s="64"/>
      <c r="AC82" s="64"/>
      <c r="AD82" s="64"/>
      <c r="AE82" s="64"/>
      <c r="AF82" s="64"/>
    </row>
    <row r="83" spans="1:32" s="29" customFormat="1" ht="26.25" customHeight="1" x14ac:dyDescent="0.2">
      <c r="A83" s="158"/>
      <c r="B83" s="92" t="s">
        <v>228</v>
      </c>
      <c r="C83" s="98" t="s">
        <v>53</v>
      </c>
      <c r="D83" s="82">
        <v>144255816.30000001</v>
      </c>
      <c r="E83" s="79">
        <v>0</v>
      </c>
      <c r="F83" s="79">
        <v>0</v>
      </c>
      <c r="G83" s="79">
        <v>0</v>
      </c>
      <c r="H83" s="79">
        <v>0</v>
      </c>
      <c r="I83" s="80">
        <f t="shared" si="38"/>
        <v>144255816.30000001</v>
      </c>
      <c r="J83" s="79">
        <v>0</v>
      </c>
      <c r="K83" s="79">
        <v>0</v>
      </c>
      <c r="L83" s="79">
        <v>0</v>
      </c>
      <c r="M83" s="79">
        <v>0</v>
      </c>
      <c r="N83" s="79">
        <v>0</v>
      </c>
      <c r="O83" s="79">
        <v>0</v>
      </c>
      <c r="P83" s="79">
        <v>0</v>
      </c>
      <c r="Q83" s="79">
        <v>0</v>
      </c>
      <c r="R83" s="79">
        <v>0</v>
      </c>
      <c r="S83" s="79">
        <v>0</v>
      </c>
      <c r="T83" s="79">
        <v>0</v>
      </c>
      <c r="U83" s="79">
        <v>0</v>
      </c>
      <c r="V83" s="79">
        <v>0</v>
      </c>
      <c r="W83" s="64"/>
      <c r="Z83" s="64"/>
      <c r="AA83" s="64"/>
      <c r="AB83" s="64"/>
      <c r="AC83" s="64"/>
      <c r="AD83" s="64"/>
      <c r="AE83" s="64"/>
      <c r="AF83" s="64"/>
    </row>
    <row r="84" spans="1:32" s="29" customFormat="1" ht="90.75" customHeight="1" x14ac:dyDescent="0.2">
      <c r="A84" s="158"/>
      <c r="B84" s="23" t="s">
        <v>213</v>
      </c>
      <c r="C84" s="5" t="s">
        <v>212</v>
      </c>
      <c r="D84" s="76">
        <f>D85+D86</f>
        <v>1940036179</v>
      </c>
      <c r="E84" s="76">
        <f>SUM(E86:E92)</f>
        <v>0</v>
      </c>
      <c r="F84" s="76">
        <f>SUM(F86:F92)</f>
        <v>0</v>
      </c>
      <c r="G84" s="76">
        <f>SUM(G86:G92)</f>
        <v>0</v>
      </c>
      <c r="H84" s="76">
        <f>SUM(H86:H92)</f>
        <v>0</v>
      </c>
      <c r="I84" s="76">
        <f t="shared" si="38"/>
        <v>1940036179</v>
      </c>
      <c r="J84" s="81">
        <f>J85+J86</f>
        <v>0</v>
      </c>
      <c r="K84" s="81">
        <f t="shared" ref="K84:V84" si="41">K85+K86</f>
        <v>0</v>
      </c>
      <c r="L84" s="81">
        <f t="shared" si="41"/>
        <v>0</v>
      </c>
      <c r="M84" s="81">
        <f t="shared" si="41"/>
        <v>0</v>
      </c>
      <c r="N84" s="81">
        <f t="shared" si="41"/>
        <v>0</v>
      </c>
      <c r="O84" s="81">
        <f t="shared" si="41"/>
        <v>0</v>
      </c>
      <c r="P84" s="81">
        <f t="shared" si="41"/>
        <v>0</v>
      </c>
      <c r="Q84" s="81">
        <f t="shared" si="41"/>
        <v>0</v>
      </c>
      <c r="R84" s="81">
        <f t="shared" si="41"/>
        <v>0</v>
      </c>
      <c r="S84" s="81">
        <f t="shared" si="41"/>
        <v>0</v>
      </c>
      <c r="T84" s="81">
        <f t="shared" si="41"/>
        <v>0</v>
      </c>
      <c r="U84" s="81">
        <f t="shared" si="41"/>
        <v>0</v>
      </c>
      <c r="V84" s="81">
        <f t="shared" si="41"/>
        <v>0</v>
      </c>
      <c r="W84" s="64"/>
    </row>
    <row r="85" spans="1:32" s="29" customFormat="1" ht="13.5" customHeight="1" x14ac:dyDescent="0.2">
      <c r="A85" s="158"/>
      <c r="B85" s="92" t="s">
        <v>226</v>
      </c>
      <c r="C85" s="6" t="s">
        <v>107</v>
      </c>
      <c r="D85" s="82">
        <v>1747821909</v>
      </c>
      <c r="E85" s="79">
        <v>0</v>
      </c>
      <c r="F85" s="79">
        <v>0</v>
      </c>
      <c r="G85" s="79">
        <v>0</v>
      </c>
      <c r="H85" s="79">
        <v>0</v>
      </c>
      <c r="I85" s="80">
        <f t="shared" si="38"/>
        <v>1747821909</v>
      </c>
      <c r="J85" s="63">
        <v>0</v>
      </c>
      <c r="K85" s="63">
        <v>0</v>
      </c>
      <c r="L85" s="63">
        <v>0</v>
      </c>
      <c r="M85" s="63">
        <v>0</v>
      </c>
      <c r="N85" s="63">
        <v>0</v>
      </c>
      <c r="O85" s="63">
        <v>0</v>
      </c>
      <c r="P85" s="63">
        <v>0</v>
      </c>
      <c r="Q85" s="63">
        <v>0</v>
      </c>
      <c r="R85" s="63">
        <v>0</v>
      </c>
      <c r="S85" s="63">
        <v>0</v>
      </c>
      <c r="T85" s="63">
        <v>0</v>
      </c>
      <c r="U85" s="63">
        <v>0</v>
      </c>
      <c r="V85" s="63">
        <v>0</v>
      </c>
      <c r="W85" s="64"/>
      <c r="Z85" s="64"/>
      <c r="AA85" s="64"/>
      <c r="AB85" s="64"/>
      <c r="AC85" s="64"/>
      <c r="AD85" s="64"/>
      <c r="AE85" s="64"/>
      <c r="AF85" s="64"/>
    </row>
    <row r="86" spans="1:32" s="29" customFormat="1" ht="33" customHeight="1" x14ac:dyDescent="0.2">
      <c r="A86" s="158"/>
      <c r="B86" s="92" t="s">
        <v>223</v>
      </c>
      <c r="C86" s="98" t="s">
        <v>53</v>
      </c>
      <c r="D86" s="82">
        <v>192214270</v>
      </c>
      <c r="E86" s="79">
        <v>0</v>
      </c>
      <c r="F86" s="79">
        <v>0</v>
      </c>
      <c r="G86" s="79">
        <v>0</v>
      </c>
      <c r="H86" s="79">
        <v>0</v>
      </c>
      <c r="I86" s="80">
        <f t="shared" si="38"/>
        <v>192214270</v>
      </c>
      <c r="J86" s="63">
        <v>0</v>
      </c>
      <c r="K86" s="63">
        <v>0</v>
      </c>
      <c r="L86" s="63">
        <v>0</v>
      </c>
      <c r="M86" s="63">
        <v>0</v>
      </c>
      <c r="N86" s="63">
        <v>0</v>
      </c>
      <c r="O86" s="63">
        <v>0</v>
      </c>
      <c r="P86" s="63">
        <v>0</v>
      </c>
      <c r="Q86" s="63">
        <v>0</v>
      </c>
      <c r="R86" s="63">
        <v>0</v>
      </c>
      <c r="S86" s="63">
        <v>0</v>
      </c>
      <c r="T86" s="63">
        <v>0</v>
      </c>
      <c r="U86" s="63">
        <v>0</v>
      </c>
      <c r="V86" s="63">
        <v>0</v>
      </c>
      <c r="W86" s="64"/>
      <c r="Z86" s="64"/>
      <c r="AA86" s="64"/>
      <c r="AB86" s="64"/>
      <c r="AC86" s="64"/>
      <c r="AD86" s="64"/>
      <c r="AE86" s="64"/>
      <c r="AF86" s="64"/>
    </row>
    <row r="87" spans="1:32" s="29" customFormat="1" ht="90.75" customHeight="1" x14ac:dyDescent="0.2">
      <c r="A87" s="158"/>
      <c r="B87" s="23" t="s">
        <v>214</v>
      </c>
      <c r="C87" s="5" t="s">
        <v>215</v>
      </c>
      <c r="D87" s="76">
        <f>D88+D89</f>
        <v>1712100044.5999999</v>
      </c>
      <c r="E87" s="76">
        <f>SUM(E89:E98)</f>
        <v>0</v>
      </c>
      <c r="F87" s="76">
        <f>SUM(F89:F98)</f>
        <v>0</v>
      </c>
      <c r="G87" s="76">
        <f>SUM(G89:G98)</f>
        <v>0</v>
      </c>
      <c r="H87" s="76">
        <f>SUM(H89:H98)</f>
        <v>0</v>
      </c>
      <c r="I87" s="76">
        <f t="shared" si="38"/>
        <v>1712100044.5999999</v>
      </c>
      <c r="J87" s="81">
        <f>J88+J89</f>
        <v>0</v>
      </c>
      <c r="K87" s="81">
        <f t="shared" ref="K87:V87" si="42">K88+K89</f>
        <v>0</v>
      </c>
      <c r="L87" s="81">
        <f t="shared" si="42"/>
        <v>0</v>
      </c>
      <c r="M87" s="81">
        <f t="shared" si="42"/>
        <v>0</v>
      </c>
      <c r="N87" s="81">
        <f t="shared" si="42"/>
        <v>0</v>
      </c>
      <c r="O87" s="81">
        <f t="shared" si="42"/>
        <v>0</v>
      </c>
      <c r="P87" s="81">
        <f t="shared" si="42"/>
        <v>0</v>
      </c>
      <c r="Q87" s="81">
        <f t="shared" si="42"/>
        <v>0</v>
      </c>
      <c r="R87" s="81">
        <f t="shared" si="42"/>
        <v>0</v>
      </c>
      <c r="S87" s="81">
        <f t="shared" si="42"/>
        <v>0</v>
      </c>
      <c r="T87" s="81">
        <f t="shared" si="42"/>
        <v>0</v>
      </c>
      <c r="U87" s="81">
        <f t="shared" si="42"/>
        <v>0</v>
      </c>
      <c r="V87" s="81">
        <f t="shared" si="42"/>
        <v>0</v>
      </c>
      <c r="W87" s="64"/>
    </row>
    <row r="88" spans="1:32" s="29" customFormat="1" ht="13.5" customHeight="1" x14ac:dyDescent="0.2">
      <c r="A88" s="158"/>
      <c r="B88" s="92" t="s">
        <v>227</v>
      </c>
      <c r="C88" s="6" t="s">
        <v>107</v>
      </c>
      <c r="D88" s="82">
        <v>1582095352.5</v>
      </c>
      <c r="E88" s="79">
        <v>0</v>
      </c>
      <c r="F88" s="79">
        <v>0</v>
      </c>
      <c r="G88" s="79">
        <v>0</v>
      </c>
      <c r="H88" s="79">
        <v>0</v>
      </c>
      <c r="I88" s="80">
        <f t="shared" si="38"/>
        <v>1582095352.5</v>
      </c>
      <c r="J88" s="63">
        <v>0</v>
      </c>
      <c r="K88" s="63">
        <v>0</v>
      </c>
      <c r="L88" s="63">
        <v>0</v>
      </c>
      <c r="M88" s="63">
        <v>0</v>
      </c>
      <c r="N88" s="63">
        <v>0</v>
      </c>
      <c r="O88" s="63">
        <v>0</v>
      </c>
      <c r="P88" s="63">
        <v>0</v>
      </c>
      <c r="Q88" s="63">
        <v>0</v>
      </c>
      <c r="R88" s="63">
        <v>0</v>
      </c>
      <c r="S88" s="63">
        <v>0</v>
      </c>
      <c r="T88" s="63">
        <v>0</v>
      </c>
      <c r="U88" s="63">
        <v>0</v>
      </c>
      <c r="V88" s="63">
        <v>0</v>
      </c>
      <c r="W88" s="64"/>
      <c r="Z88" s="64"/>
      <c r="AA88" s="64"/>
      <c r="AB88" s="64"/>
      <c r="AC88" s="64"/>
      <c r="AD88" s="64"/>
      <c r="AE88" s="64"/>
      <c r="AF88" s="64"/>
    </row>
    <row r="89" spans="1:32" s="29" customFormat="1" ht="33" customHeight="1" x14ac:dyDescent="0.2">
      <c r="A89" s="158"/>
      <c r="B89" s="92" t="s">
        <v>222</v>
      </c>
      <c r="C89" s="98" t="s">
        <v>53</v>
      </c>
      <c r="D89" s="82">
        <v>130004692.09999999</v>
      </c>
      <c r="E89" s="79">
        <v>0</v>
      </c>
      <c r="F89" s="79">
        <v>0</v>
      </c>
      <c r="G89" s="79">
        <v>0</v>
      </c>
      <c r="H89" s="79">
        <v>0</v>
      </c>
      <c r="I89" s="80">
        <f t="shared" si="38"/>
        <v>130004692.09999999</v>
      </c>
      <c r="J89" s="63">
        <v>0</v>
      </c>
      <c r="K89" s="63">
        <v>0</v>
      </c>
      <c r="L89" s="63">
        <v>0</v>
      </c>
      <c r="M89" s="63">
        <v>0</v>
      </c>
      <c r="N89" s="63">
        <v>0</v>
      </c>
      <c r="O89" s="63">
        <v>0</v>
      </c>
      <c r="P89" s="63">
        <v>0</v>
      </c>
      <c r="Q89" s="63">
        <v>0</v>
      </c>
      <c r="R89" s="63">
        <v>0</v>
      </c>
      <c r="S89" s="63">
        <v>0</v>
      </c>
      <c r="T89" s="63">
        <v>0</v>
      </c>
      <c r="U89" s="63">
        <v>0</v>
      </c>
      <c r="V89" s="63">
        <v>0</v>
      </c>
      <c r="W89" s="64"/>
      <c r="Z89" s="64"/>
      <c r="AA89" s="64"/>
      <c r="AB89" s="64"/>
      <c r="AC89" s="64"/>
      <c r="AD89" s="64"/>
      <c r="AE89" s="64"/>
      <c r="AF89" s="64"/>
    </row>
    <row r="90" spans="1:32" s="29" customFormat="1" x14ac:dyDescent="0.2">
      <c r="A90" s="158"/>
      <c r="B90" s="24" t="s">
        <v>142</v>
      </c>
      <c r="C90" s="27" t="s">
        <v>141</v>
      </c>
      <c r="D90" s="74">
        <f>D91+D94</f>
        <v>6123229897.9699993</v>
      </c>
      <c r="E90" s="74">
        <f t="shared" ref="E90:H90" si="43">E91+E94</f>
        <v>0</v>
      </c>
      <c r="F90" s="74">
        <f t="shared" si="43"/>
        <v>0</v>
      </c>
      <c r="G90" s="74">
        <f t="shared" si="43"/>
        <v>0</v>
      </c>
      <c r="H90" s="74">
        <f t="shared" si="43"/>
        <v>0</v>
      </c>
      <c r="I90" s="74">
        <f t="shared" si="38"/>
        <v>6123229897.9699993</v>
      </c>
      <c r="J90" s="74">
        <f>J91+J94</f>
        <v>0</v>
      </c>
      <c r="K90" s="74">
        <f t="shared" ref="K90:V90" si="44">K91+K94</f>
        <v>0</v>
      </c>
      <c r="L90" s="74">
        <f t="shared" si="44"/>
        <v>0</v>
      </c>
      <c r="M90" s="74">
        <f t="shared" si="44"/>
        <v>0</v>
      </c>
      <c r="N90" s="74">
        <f t="shared" si="44"/>
        <v>0</v>
      </c>
      <c r="O90" s="74">
        <f t="shared" si="44"/>
        <v>0</v>
      </c>
      <c r="P90" s="74">
        <f t="shared" si="44"/>
        <v>0</v>
      </c>
      <c r="Q90" s="74">
        <f t="shared" si="44"/>
        <v>0</v>
      </c>
      <c r="R90" s="74">
        <f t="shared" si="44"/>
        <v>0</v>
      </c>
      <c r="S90" s="74">
        <f t="shared" si="44"/>
        <v>0</v>
      </c>
      <c r="T90" s="74">
        <f t="shared" si="44"/>
        <v>0</v>
      </c>
      <c r="U90" s="74">
        <f t="shared" si="44"/>
        <v>0</v>
      </c>
      <c r="V90" s="74">
        <f t="shared" si="44"/>
        <v>0</v>
      </c>
      <c r="W90" s="64"/>
    </row>
    <row r="91" spans="1:32" s="29" customFormat="1" ht="87.75" customHeight="1" x14ac:dyDescent="0.2">
      <c r="A91" s="158"/>
      <c r="B91" s="23" t="s">
        <v>193</v>
      </c>
      <c r="C91" s="5" t="s">
        <v>216</v>
      </c>
      <c r="D91" s="76">
        <f>D92+D93</f>
        <v>2617848780.52</v>
      </c>
      <c r="E91" s="76">
        <f>E92+E93</f>
        <v>0</v>
      </c>
      <c r="F91" s="76">
        <f>F92+F93</f>
        <v>0</v>
      </c>
      <c r="G91" s="76">
        <f>G92+G93</f>
        <v>0</v>
      </c>
      <c r="H91" s="76">
        <f>H92+H93</f>
        <v>0</v>
      </c>
      <c r="I91" s="76">
        <f t="shared" si="38"/>
        <v>2617848780.52</v>
      </c>
      <c r="J91" s="76">
        <f t="shared" ref="J91:V91" si="45">J92+J93</f>
        <v>0</v>
      </c>
      <c r="K91" s="76">
        <f t="shared" si="45"/>
        <v>0</v>
      </c>
      <c r="L91" s="76">
        <f t="shared" si="45"/>
        <v>0</v>
      </c>
      <c r="M91" s="76">
        <f t="shared" si="45"/>
        <v>0</v>
      </c>
      <c r="N91" s="76">
        <f t="shared" si="45"/>
        <v>0</v>
      </c>
      <c r="O91" s="76">
        <f t="shared" si="45"/>
        <v>0</v>
      </c>
      <c r="P91" s="76">
        <f t="shared" si="45"/>
        <v>0</v>
      </c>
      <c r="Q91" s="76">
        <f t="shared" si="45"/>
        <v>0</v>
      </c>
      <c r="R91" s="76">
        <f t="shared" si="45"/>
        <v>0</v>
      </c>
      <c r="S91" s="76">
        <f t="shared" si="45"/>
        <v>0</v>
      </c>
      <c r="T91" s="76">
        <f t="shared" si="45"/>
        <v>0</v>
      </c>
      <c r="U91" s="76">
        <f t="shared" si="45"/>
        <v>0</v>
      </c>
      <c r="V91" s="76">
        <f t="shared" si="45"/>
        <v>0</v>
      </c>
      <c r="W91" s="64"/>
    </row>
    <row r="92" spans="1:32" s="29" customFormat="1" ht="13.5" customHeight="1" x14ac:dyDescent="0.2">
      <c r="A92" s="158"/>
      <c r="B92" s="7" t="s">
        <v>144</v>
      </c>
      <c r="C92" s="6" t="s">
        <v>107</v>
      </c>
      <c r="D92" s="82">
        <v>2248324355.0799999</v>
      </c>
      <c r="E92" s="79">
        <v>0</v>
      </c>
      <c r="F92" s="79">
        <v>0</v>
      </c>
      <c r="G92" s="79">
        <v>0</v>
      </c>
      <c r="H92" s="79">
        <v>0</v>
      </c>
      <c r="I92" s="80">
        <f t="shared" si="38"/>
        <v>2248324355.0799999</v>
      </c>
      <c r="J92" s="63">
        <v>0</v>
      </c>
      <c r="K92" s="63">
        <v>0</v>
      </c>
      <c r="L92" s="63">
        <v>0</v>
      </c>
      <c r="M92" s="63">
        <v>0</v>
      </c>
      <c r="N92" s="63">
        <v>0</v>
      </c>
      <c r="O92" s="63">
        <v>0</v>
      </c>
      <c r="P92" s="63">
        <v>0</v>
      </c>
      <c r="Q92" s="63">
        <v>0</v>
      </c>
      <c r="R92" s="63">
        <v>0</v>
      </c>
      <c r="S92" s="63">
        <v>0</v>
      </c>
      <c r="T92" s="63">
        <v>0</v>
      </c>
      <c r="U92" s="63">
        <v>0</v>
      </c>
      <c r="V92" s="63">
        <v>0</v>
      </c>
      <c r="W92" s="64"/>
      <c r="Z92" s="64"/>
      <c r="AA92" s="64"/>
      <c r="AB92" s="64"/>
      <c r="AC92" s="64"/>
      <c r="AD92" s="64"/>
      <c r="AE92" s="64"/>
      <c r="AF92" s="64"/>
    </row>
    <row r="93" spans="1:32" s="29" customFormat="1" ht="30.75" customHeight="1" x14ac:dyDescent="0.2">
      <c r="A93" s="158"/>
      <c r="B93" s="7" t="s">
        <v>145</v>
      </c>
      <c r="C93" s="6" t="s">
        <v>53</v>
      </c>
      <c r="D93" s="82">
        <v>369524425.44</v>
      </c>
      <c r="E93" s="79">
        <v>0</v>
      </c>
      <c r="F93" s="79">
        <v>0</v>
      </c>
      <c r="G93" s="79">
        <v>0</v>
      </c>
      <c r="H93" s="79">
        <v>0</v>
      </c>
      <c r="I93" s="80">
        <f t="shared" si="38"/>
        <v>369524425.44</v>
      </c>
      <c r="J93" s="63">
        <v>0</v>
      </c>
      <c r="K93" s="63">
        <v>0</v>
      </c>
      <c r="L93" s="63">
        <v>0</v>
      </c>
      <c r="M93" s="63">
        <v>0</v>
      </c>
      <c r="N93" s="63">
        <v>0</v>
      </c>
      <c r="O93" s="63">
        <v>0</v>
      </c>
      <c r="P93" s="63">
        <v>0</v>
      </c>
      <c r="Q93" s="63">
        <v>0</v>
      </c>
      <c r="R93" s="63">
        <v>0</v>
      </c>
      <c r="S93" s="63">
        <v>0</v>
      </c>
      <c r="T93" s="63">
        <v>0</v>
      </c>
      <c r="U93" s="63">
        <v>0</v>
      </c>
      <c r="V93" s="63">
        <v>0</v>
      </c>
      <c r="W93" s="64"/>
    </row>
    <row r="94" spans="1:32" s="29" customFormat="1" ht="87.75" customHeight="1" x14ac:dyDescent="0.2">
      <c r="A94" s="158"/>
      <c r="B94" s="23" t="s">
        <v>217</v>
      </c>
      <c r="C94" s="5" t="s">
        <v>218</v>
      </c>
      <c r="D94" s="76">
        <f>D95+D96</f>
        <v>3505381117.4499998</v>
      </c>
      <c r="E94" s="76">
        <f>E95+E96</f>
        <v>0</v>
      </c>
      <c r="F94" s="76">
        <f>F95+F96</f>
        <v>0</v>
      </c>
      <c r="G94" s="76">
        <f>G95+G96</f>
        <v>0</v>
      </c>
      <c r="H94" s="76">
        <f>H95+H96</f>
        <v>0</v>
      </c>
      <c r="I94" s="76">
        <f t="shared" si="38"/>
        <v>3505381117.4499998</v>
      </c>
      <c r="J94" s="76">
        <f t="shared" ref="J94:V94" si="46">J95+J96</f>
        <v>0</v>
      </c>
      <c r="K94" s="76">
        <f t="shared" si="46"/>
        <v>0</v>
      </c>
      <c r="L94" s="76">
        <f t="shared" si="46"/>
        <v>0</v>
      </c>
      <c r="M94" s="76">
        <f t="shared" si="46"/>
        <v>0</v>
      </c>
      <c r="N94" s="76">
        <f t="shared" si="46"/>
        <v>0</v>
      </c>
      <c r="O94" s="76">
        <f t="shared" si="46"/>
        <v>0</v>
      </c>
      <c r="P94" s="76">
        <f t="shared" si="46"/>
        <v>0</v>
      </c>
      <c r="Q94" s="76">
        <f t="shared" si="46"/>
        <v>0</v>
      </c>
      <c r="R94" s="76">
        <f t="shared" si="46"/>
        <v>0</v>
      </c>
      <c r="S94" s="76">
        <f t="shared" si="46"/>
        <v>0</v>
      </c>
      <c r="T94" s="76">
        <f t="shared" si="46"/>
        <v>0</v>
      </c>
      <c r="U94" s="76">
        <f t="shared" si="46"/>
        <v>0</v>
      </c>
      <c r="V94" s="76">
        <f t="shared" si="46"/>
        <v>0</v>
      </c>
      <c r="W94" s="64"/>
    </row>
    <row r="95" spans="1:32" s="29" customFormat="1" ht="13.5" customHeight="1" x14ac:dyDescent="0.2">
      <c r="A95" s="158"/>
      <c r="B95" s="92" t="s">
        <v>219</v>
      </c>
      <c r="C95" s="6" t="s">
        <v>107</v>
      </c>
      <c r="D95" s="82">
        <v>3337389103.4400001</v>
      </c>
      <c r="E95" s="79">
        <v>0</v>
      </c>
      <c r="F95" s="79">
        <v>0</v>
      </c>
      <c r="G95" s="79">
        <v>0</v>
      </c>
      <c r="H95" s="79">
        <v>0</v>
      </c>
      <c r="I95" s="80">
        <f t="shared" si="38"/>
        <v>3337389103.4400001</v>
      </c>
      <c r="J95" s="63">
        <v>0</v>
      </c>
      <c r="K95" s="63">
        <v>0</v>
      </c>
      <c r="L95" s="63">
        <v>0</v>
      </c>
      <c r="M95" s="63">
        <v>0</v>
      </c>
      <c r="N95" s="63">
        <v>0</v>
      </c>
      <c r="O95" s="63">
        <v>0</v>
      </c>
      <c r="P95" s="63">
        <v>0</v>
      </c>
      <c r="Q95" s="63">
        <v>0</v>
      </c>
      <c r="R95" s="63">
        <v>0</v>
      </c>
      <c r="S95" s="63">
        <v>0</v>
      </c>
      <c r="T95" s="63">
        <v>0</v>
      </c>
      <c r="U95" s="63">
        <v>0</v>
      </c>
      <c r="V95" s="63">
        <v>0</v>
      </c>
      <c r="W95" s="64"/>
      <c r="Z95" s="64"/>
      <c r="AA95" s="64"/>
      <c r="AB95" s="64"/>
      <c r="AC95" s="64"/>
      <c r="AD95" s="64"/>
      <c r="AE95" s="64"/>
      <c r="AF95" s="64"/>
    </row>
    <row r="96" spans="1:32" s="29" customFormat="1" ht="30.75" customHeight="1" x14ac:dyDescent="0.2">
      <c r="A96" s="158"/>
      <c r="B96" s="92" t="s">
        <v>220</v>
      </c>
      <c r="C96" s="6" t="s">
        <v>53</v>
      </c>
      <c r="D96" s="82">
        <v>167992014.00999999</v>
      </c>
      <c r="E96" s="79">
        <v>0</v>
      </c>
      <c r="F96" s="79">
        <v>0</v>
      </c>
      <c r="G96" s="79">
        <v>0</v>
      </c>
      <c r="H96" s="79">
        <v>0</v>
      </c>
      <c r="I96" s="80">
        <f t="shared" si="38"/>
        <v>167992014.00999999</v>
      </c>
      <c r="J96" s="63">
        <v>0</v>
      </c>
      <c r="K96" s="63">
        <v>0</v>
      </c>
      <c r="L96" s="63">
        <v>0</v>
      </c>
      <c r="M96" s="63">
        <v>0</v>
      </c>
      <c r="N96" s="63">
        <v>0</v>
      </c>
      <c r="O96" s="63">
        <v>0</v>
      </c>
      <c r="P96" s="63">
        <v>0</v>
      </c>
      <c r="Q96" s="63">
        <v>0</v>
      </c>
      <c r="R96" s="63">
        <v>0</v>
      </c>
      <c r="S96" s="63">
        <v>0</v>
      </c>
      <c r="T96" s="63">
        <v>0</v>
      </c>
      <c r="U96" s="63">
        <v>0</v>
      </c>
      <c r="V96" s="63">
        <v>0</v>
      </c>
      <c r="W96" s="64"/>
    </row>
    <row r="97" spans="1:66" s="29" customFormat="1" x14ac:dyDescent="0.2">
      <c r="A97" s="158"/>
      <c r="B97" s="24" t="s">
        <v>108</v>
      </c>
      <c r="C97" s="27" t="s">
        <v>54</v>
      </c>
      <c r="D97" s="74">
        <f>D98+D102+D104</f>
        <v>70382237882.429993</v>
      </c>
      <c r="E97" s="74">
        <f>E98+E102+E104</f>
        <v>0</v>
      </c>
      <c r="F97" s="74">
        <f t="shared" ref="F97:H97" si="47">F98+F102+F104</f>
        <v>0</v>
      </c>
      <c r="G97" s="74">
        <f t="shared" si="47"/>
        <v>0</v>
      </c>
      <c r="H97" s="74">
        <f t="shared" si="47"/>
        <v>0</v>
      </c>
      <c r="I97" s="74">
        <f>+D97+E97-F97+G97-H97</f>
        <v>70382237882.429993</v>
      </c>
      <c r="J97" s="74">
        <f>+J98+J102+J104</f>
        <v>0</v>
      </c>
      <c r="K97" s="74">
        <f t="shared" ref="K97:V97" si="48">+K98+K102+K104</f>
        <v>0</v>
      </c>
      <c r="L97" s="74">
        <f t="shared" si="48"/>
        <v>0</v>
      </c>
      <c r="M97" s="74">
        <f t="shared" si="48"/>
        <v>0</v>
      </c>
      <c r="N97" s="74">
        <f t="shared" si="48"/>
        <v>0</v>
      </c>
      <c r="O97" s="74">
        <f t="shared" si="48"/>
        <v>0</v>
      </c>
      <c r="P97" s="74">
        <f t="shared" si="48"/>
        <v>0</v>
      </c>
      <c r="Q97" s="74">
        <f t="shared" si="48"/>
        <v>0</v>
      </c>
      <c r="R97" s="74">
        <f t="shared" si="48"/>
        <v>0</v>
      </c>
      <c r="S97" s="74">
        <f t="shared" si="48"/>
        <v>0</v>
      </c>
      <c r="T97" s="74">
        <f t="shared" si="48"/>
        <v>0</v>
      </c>
      <c r="U97" s="74">
        <f t="shared" si="48"/>
        <v>0</v>
      </c>
      <c r="V97" s="74">
        <f t="shared" si="48"/>
        <v>0</v>
      </c>
      <c r="W97" s="64"/>
    </row>
    <row r="98" spans="1:66" s="29" customFormat="1" ht="51" x14ac:dyDescent="0.2">
      <c r="A98" s="158"/>
      <c r="B98" s="23" t="s">
        <v>146</v>
      </c>
      <c r="C98" s="5" t="s">
        <v>194</v>
      </c>
      <c r="D98" s="76">
        <f>D99+D100+D101</f>
        <v>16556154691.43</v>
      </c>
      <c r="E98" s="76">
        <f t="shared" ref="E98:H98" si="49">E99+E100+E101</f>
        <v>0</v>
      </c>
      <c r="F98" s="76">
        <f t="shared" si="49"/>
        <v>0</v>
      </c>
      <c r="G98" s="76">
        <f t="shared" si="49"/>
        <v>0</v>
      </c>
      <c r="H98" s="76">
        <f t="shared" si="49"/>
        <v>0</v>
      </c>
      <c r="I98" s="76">
        <f>I99+I100+I101</f>
        <v>16556154691.43</v>
      </c>
      <c r="J98" s="76">
        <f>J99+J100+J101</f>
        <v>0</v>
      </c>
      <c r="K98" s="76">
        <f t="shared" ref="K98:V98" si="50">K99+K100+K101</f>
        <v>0</v>
      </c>
      <c r="L98" s="76">
        <f t="shared" si="50"/>
        <v>0</v>
      </c>
      <c r="M98" s="76">
        <f t="shared" si="50"/>
        <v>0</v>
      </c>
      <c r="N98" s="76">
        <f t="shared" si="50"/>
        <v>0</v>
      </c>
      <c r="O98" s="76">
        <f t="shared" si="50"/>
        <v>0</v>
      </c>
      <c r="P98" s="76">
        <f t="shared" si="50"/>
        <v>0</v>
      </c>
      <c r="Q98" s="76">
        <f t="shared" si="50"/>
        <v>0</v>
      </c>
      <c r="R98" s="76">
        <f t="shared" si="50"/>
        <v>0</v>
      </c>
      <c r="S98" s="76">
        <f t="shared" si="50"/>
        <v>0</v>
      </c>
      <c r="T98" s="76">
        <f t="shared" si="50"/>
        <v>0</v>
      </c>
      <c r="U98" s="76">
        <f t="shared" si="50"/>
        <v>0</v>
      </c>
      <c r="V98" s="76">
        <f t="shared" si="50"/>
        <v>0</v>
      </c>
      <c r="W98" s="64"/>
    </row>
    <row r="99" spans="1:66" s="29" customFormat="1" ht="12.75" customHeight="1" x14ac:dyDescent="0.2">
      <c r="A99" s="158"/>
      <c r="B99" s="7" t="s">
        <v>147</v>
      </c>
      <c r="C99" s="6" t="s">
        <v>107</v>
      </c>
      <c r="D99" s="79">
        <v>12052385707.309999</v>
      </c>
      <c r="E99" s="72">
        <v>0</v>
      </c>
      <c r="F99" s="72">
        <v>0</v>
      </c>
      <c r="G99" s="72">
        <v>0</v>
      </c>
      <c r="H99" s="72">
        <v>0</v>
      </c>
      <c r="I99" s="79">
        <f t="shared" si="38"/>
        <v>12052385707.309999</v>
      </c>
      <c r="J99" s="63">
        <v>0</v>
      </c>
      <c r="K99" s="63">
        <v>0</v>
      </c>
      <c r="L99" s="63">
        <v>0</v>
      </c>
      <c r="M99" s="63">
        <v>0</v>
      </c>
      <c r="N99" s="63">
        <v>0</v>
      </c>
      <c r="O99" s="63">
        <v>0</v>
      </c>
      <c r="P99" s="63">
        <v>0</v>
      </c>
      <c r="Q99" s="63">
        <v>0</v>
      </c>
      <c r="R99" s="63">
        <v>0</v>
      </c>
      <c r="S99" s="63">
        <v>0</v>
      </c>
      <c r="T99" s="63">
        <v>0</v>
      </c>
      <c r="U99" s="63">
        <v>0</v>
      </c>
      <c r="V99" s="63">
        <v>0</v>
      </c>
      <c r="W99" s="64"/>
      <c r="X99" s="29">
        <f>W99/3</f>
        <v>0</v>
      </c>
    </row>
    <row r="100" spans="1:66" s="29" customFormat="1" ht="12.75" customHeight="1" x14ac:dyDescent="0.2">
      <c r="A100" s="158"/>
      <c r="B100" s="7" t="s">
        <v>148</v>
      </c>
      <c r="C100" s="6" t="s">
        <v>53</v>
      </c>
      <c r="D100" s="79">
        <v>4303768984.1199999</v>
      </c>
      <c r="E100" s="79"/>
      <c r="F100" s="79"/>
      <c r="G100" s="79"/>
      <c r="H100" s="79"/>
      <c r="I100" s="79">
        <f t="shared" si="38"/>
        <v>4303768984.1199999</v>
      </c>
      <c r="J100" s="63">
        <v>0</v>
      </c>
      <c r="K100" s="63">
        <v>0</v>
      </c>
      <c r="L100" s="63">
        <v>0</v>
      </c>
      <c r="M100" s="63">
        <v>0</v>
      </c>
      <c r="N100" s="63">
        <v>0</v>
      </c>
      <c r="O100" s="63">
        <v>0</v>
      </c>
      <c r="P100" s="63">
        <v>0</v>
      </c>
      <c r="Q100" s="63">
        <v>0</v>
      </c>
      <c r="R100" s="63">
        <v>0</v>
      </c>
      <c r="S100" s="63">
        <v>0</v>
      </c>
      <c r="T100" s="63">
        <v>0</v>
      </c>
      <c r="U100" s="63">
        <v>0</v>
      </c>
      <c r="V100" s="63">
        <v>0</v>
      </c>
      <c r="W100" s="64"/>
      <c r="X100" s="29">
        <f>X99*3</f>
        <v>0</v>
      </c>
      <c r="Z100" s="64"/>
      <c r="AA100" s="64"/>
      <c r="AB100" s="64"/>
      <c r="AC100" s="64"/>
      <c r="AD100" s="64"/>
      <c r="AE100" s="64"/>
      <c r="AF100" s="64"/>
    </row>
    <row r="101" spans="1:66" s="29" customFormat="1" ht="12.75" customHeight="1" x14ac:dyDescent="0.2">
      <c r="A101" s="158"/>
      <c r="B101" s="92" t="s">
        <v>221</v>
      </c>
      <c r="C101" s="6" t="s">
        <v>53</v>
      </c>
      <c r="D101" s="79">
        <v>200000000</v>
      </c>
      <c r="E101" s="79"/>
      <c r="F101" s="79"/>
      <c r="G101" s="79"/>
      <c r="H101" s="79"/>
      <c r="I101" s="79">
        <f t="shared" si="38"/>
        <v>200000000</v>
      </c>
      <c r="J101" s="63">
        <v>0</v>
      </c>
      <c r="K101" s="63">
        <v>0</v>
      </c>
      <c r="L101" s="63">
        <v>0</v>
      </c>
      <c r="M101" s="63">
        <v>0</v>
      </c>
      <c r="N101" s="63">
        <v>0</v>
      </c>
      <c r="O101" s="63">
        <v>0</v>
      </c>
      <c r="P101" s="63">
        <v>0</v>
      </c>
      <c r="Q101" s="63">
        <v>0</v>
      </c>
      <c r="R101" s="63">
        <v>0</v>
      </c>
      <c r="S101" s="63">
        <v>0</v>
      </c>
      <c r="T101" s="63">
        <v>0</v>
      </c>
      <c r="U101" s="63">
        <v>0</v>
      </c>
      <c r="V101" s="63">
        <v>0</v>
      </c>
      <c r="W101" s="64"/>
      <c r="Z101" s="64"/>
      <c r="AA101" s="64"/>
      <c r="AB101" s="64"/>
      <c r="AC101" s="64"/>
      <c r="AD101" s="64"/>
      <c r="AE101" s="64"/>
      <c r="AF101" s="64"/>
    </row>
    <row r="102" spans="1:66" s="29" customFormat="1" ht="84" customHeight="1" x14ac:dyDescent="0.2">
      <c r="A102" s="158"/>
      <c r="B102" s="23" t="s">
        <v>149</v>
      </c>
      <c r="C102" s="5" t="s">
        <v>150</v>
      </c>
      <c r="D102" s="76">
        <f>D103</f>
        <v>21000000000</v>
      </c>
      <c r="E102" s="76">
        <f t="shared" ref="E102:H102" si="51">E103</f>
        <v>0</v>
      </c>
      <c r="F102" s="76">
        <f t="shared" si="51"/>
        <v>0</v>
      </c>
      <c r="G102" s="76">
        <f t="shared" si="51"/>
        <v>0</v>
      </c>
      <c r="H102" s="76">
        <f t="shared" si="51"/>
        <v>0</v>
      </c>
      <c r="I102" s="76">
        <f>D102+E102-F102+G102-H102</f>
        <v>21000000000</v>
      </c>
      <c r="J102" s="76">
        <f>J103</f>
        <v>0</v>
      </c>
      <c r="K102" s="76">
        <f t="shared" ref="K102:V102" si="52">K103</f>
        <v>0</v>
      </c>
      <c r="L102" s="76">
        <f t="shared" si="52"/>
        <v>0</v>
      </c>
      <c r="M102" s="76">
        <f t="shared" si="52"/>
        <v>0</v>
      </c>
      <c r="N102" s="76">
        <f t="shared" si="52"/>
        <v>0</v>
      </c>
      <c r="O102" s="76">
        <f t="shared" si="52"/>
        <v>0</v>
      </c>
      <c r="P102" s="76">
        <f t="shared" si="52"/>
        <v>0</v>
      </c>
      <c r="Q102" s="76">
        <f t="shared" si="52"/>
        <v>0</v>
      </c>
      <c r="R102" s="76">
        <f t="shared" si="52"/>
        <v>0</v>
      </c>
      <c r="S102" s="76">
        <f t="shared" si="52"/>
        <v>0</v>
      </c>
      <c r="T102" s="76">
        <f t="shared" si="52"/>
        <v>0</v>
      </c>
      <c r="U102" s="76">
        <f t="shared" si="52"/>
        <v>0</v>
      </c>
      <c r="V102" s="76">
        <f t="shared" si="52"/>
        <v>0</v>
      </c>
      <c r="W102" s="64"/>
    </row>
    <row r="103" spans="1:66" s="29" customFormat="1" ht="12.75" customHeight="1" x14ac:dyDescent="0.2">
      <c r="A103" s="158"/>
      <c r="B103" s="141" t="s">
        <v>151</v>
      </c>
      <c r="C103" s="6" t="s">
        <v>107</v>
      </c>
      <c r="D103" s="79">
        <v>21000000000</v>
      </c>
      <c r="E103" s="79">
        <v>0</v>
      </c>
      <c r="F103" s="79">
        <v>0</v>
      </c>
      <c r="G103" s="79">
        <v>0</v>
      </c>
      <c r="H103" s="79">
        <v>0</v>
      </c>
      <c r="I103" s="79">
        <f>D103+E103-F103+G103-H103</f>
        <v>21000000000</v>
      </c>
      <c r="J103" s="83">
        <v>0</v>
      </c>
      <c r="K103" s="83">
        <v>0</v>
      </c>
      <c r="L103" s="83">
        <v>0</v>
      </c>
      <c r="M103" s="83">
        <v>0</v>
      </c>
      <c r="N103" s="83">
        <v>0</v>
      </c>
      <c r="O103" s="83">
        <v>0</v>
      </c>
      <c r="P103" s="83">
        <v>0</v>
      </c>
      <c r="Q103" s="83">
        <v>0</v>
      </c>
      <c r="R103" s="83">
        <v>0</v>
      </c>
      <c r="S103" s="83">
        <v>0</v>
      </c>
      <c r="T103" s="83">
        <v>0</v>
      </c>
      <c r="U103" s="83">
        <v>0</v>
      </c>
      <c r="V103" s="83">
        <v>0</v>
      </c>
      <c r="W103" s="64"/>
    </row>
    <row r="104" spans="1:66" s="29" customFormat="1" ht="84" customHeight="1" x14ac:dyDescent="0.2">
      <c r="A104" s="158"/>
      <c r="B104" s="23" t="s">
        <v>195</v>
      </c>
      <c r="C104" s="5" t="s">
        <v>196</v>
      </c>
      <c r="D104" s="76">
        <f>D105</f>
        <v>32826083191</v>
      </c>
      <c r="E104" s="76">
        <f t="shared" ref="E104:H104" si="53">E105</f>
        <v>0</v>
      </c>
      <c r="F104" s="76">
        <f t="shared" si="53"/>
        <v>0</v>
      </c>
      <c r="G104" s="76">
        <f t="shared" si="53"/>
        <v>0</v>
      </c>
      <c r="H104" s="76">
        <f t="shared" si="53"/>
        <v>0</v>
      </c>
      <c r="I104" s="76">
        <f>D104+E104-F104+G104-H104</f>
        <v>32826083191</v>
      </c>
      <c r="J104" s="76">
        <f>J105</f>
        <v>0</v>
      </c>
      <c r="K104" s="76">
        <f t="shared" ref="K104:V104" si="54">K105</f>
        <v>0</v>
      </c>
      <c r="L104" s="76">
        <f t="shared" si="54"/>
        <v>0</v>
      </c>
      <c r="M104" s="76">
        <f t="shared" si="54"/>
        <v>0</v>
      </c>
      <c r="N104" s="76">
        <f t="shared" si="54"/>
        <v>0</v>
      </c>
      <c r="O104" s="76">
        <f t="shared" si="54"/>
        <v>0</v>
      </c>
      <c r="P104" s="76">
        <f t="shared" si="54"/>
        <v>0</v>
      </c>
      <c r="Q104" s="76">
        <f t="shared" si="54"/>
        <v>0</v>
      </c>
      <c r="R104" s="76">
        <f t="shared" si="54"/>
        <v>0</v>
      </c>
      <c r="S104" s="76">
        <f t="shared" si="54"/>
        <v>0</v>
      </c>
      <c r="T104" s="76">
        <f t="shared" si="54"/>
        <v>0</v>
      </c>
      <c r="U104" s="76">
        <f t="shared" si="54"/>
        <v>0</v>
      </c>
      <c r="V104" s="76">
        <f t="shared" si="54"/>
        <v>0</v>
      </c>
      <c r="W104" s="64"/>
    </row>
    <row r="105" spans="1:66" s="29" customFormat="1" ht="12.75" customHeight="1" x14ac:dyDescent="0.2">
      <c r="A105" s="158"/>
      <c r="B105" s="7" t="s">
        <v>197</v>
      </c>
      <c r="C105" s="6" t="s">
        <v>107</v>
      </c>
      <c r="D105" s="79">
        <v>32826083191</v>
      </c>
      <c r="E105" s="79">
        <v>0</v>
      </c>
      <c r="F105" s="79">
        <v>0</v>
      </c>
      <c r="G105" s="79">
        <v>0</v>
      </c>
      <c r="H105" s="79">
        <v>0</v>
      </c>
      <c r="I105" s="80">
        <f t="shared" ref="I105:I109" si="55">+D105+E105-F105+G105-H105</f>
        <v>32826083191</v>
      </c>
      <c r="J105" s="96">
        <v>0</v>
      </c>
      <c r="K105" s="83">
        <v>0</v>
      </c>
      <c r="L105" s="83">
        <v>0</v>
      </c>
      <c r="M105" s="83">
        <v>0</v>
      </c>
      <c r="N105" s="83">
        <v>0</v>
      </c>
      <c r="O105" s="83">
        <v>0</v>
      </c>
      <c r="P105" s="83">
        <v>0</v>
      </c>
      <c r="Q105" s="83">
        <v>0</v>
      </c>
      <c r="R105" s="83">
        <v>0</v>
      </c>
      <c r="S105" s="83">
        <v>0</v>
      </c>
      <c r="T105" s="83">
        <v>0</v>
      </c>
      <c r="U105" s="83">
        <v>0</v>
      </c>
      <c r="V105" s="83">
        <v>0</v>
      </c>
      <c r="W105" s="64"/>
    </row>
    <row r="106" spans="1:66" s="29" customFormat="1" x14ac:dyDescent="0.2">
      <c r="A106" s="158"/>
      <c r="B106" s="24" t="s">
        <v>109</v>
      </c>
      <c r="C106" s="27" t="s">
        <v>55</v>
      </c>
      <c r="D106" s="74">
        <f>+D107</f>
        <v>3886862565</v>
      </c>
      <c r="E106" s="74">
        <f>+E107</f>
        <v>0</v>
      </c>
      <c r="F106" s="74">
        <f t="shared" ref="F106:H107" si="56">+F107</f>
        <v>0</v>
      </c>
      <c r="G106" s="74">
        <f t="shared" si="56"/>
        <v>0</v>
      </c>
      <c r="H106" s="74">
        <f t="shared" si="56"/>
        <v>0</v>
      </c>
      <c r="I106" s="74">
        <f t="shared" si="55"/>
        <v>3886862565</v>
      </c>
      <c r="J106" s="74"/>
      <c r="K106" s="74"/>
      <c r="L106" s="74"/>
      <c r="M106" s="74"/>
      <c r="N106" s="74"/>
      <c r="O106" s="74"/>
      <c r="P106" s="74"/>
      <c r="Q106" s="74"/>
      <c r="R106" s="74"/>
      <c r="S106" s="74"/>
      <c r="T106" s="74"/>
      <c r="U106" s="74"/>
      <c r="V106" s="74"/>
      <c r="W106" s="64"/>
    </row>
    <row r="107" spans="1:66" s="28" customFormat="1" ht="38.25" x14ac:dyDescent="0.2">
      <c r="A107" s="158"/>
      <c r="B107" s="23" t="s">
        <v>152</v>
      </c>
      <c r="C107" s="5" t="s">
        <v>198</v>
      </c>
      <c r="D107" s="76">
        <f>SUM(D108:D109)</f>
        <v>3886862565</v>
      </c>
      <c r="E107" s="76">
        <f>+E108</f>
        <v>0</v>
      </c>
      <c r="F107" s="76">
        <f t="shared" si="56"/>
        <v>0</v>
      </c>
      <c r="G107" s="76">
        <f t="shared" si="56"/>
        <v>0</v>
      </c>
      <c r="H107" s="76">
        <f t="shared" si="56"/>
        <v>0</v>
      </c>
      <c r="I107" s="76">
        <f t="shared" si="55"/>
        <v>3886862565</v>
      </c>
      <c r="J107" s="76">
        <f>+J108+J109</f>
        <v>0</v>
      </c>
      <c r="K107" s="76">
        <f t="shared" ref="K107:V107" si="57">+K108+K109</f>
        <v>0</v>
      </c>
      <c r="L107" s="76">
        <f t="shared" si="57"/>
        <v>0</v>
      </c>
      <c r="M107" s="76">
        <f t="shared" si="57"/>
        <v>0</v>
      </c>
      <c r="N107" s="76">
        <f t="shared" si="57"/>
        <v>0</v>
      </c>
      <c r="O107" s="76">
        <f t="shared" si="57"/>
        <v>0</v>
      </c>
      <c r="P107" s="76">
        <f t="shared" si="57"/>
        <v>0</v>
      </c>
      <c r="Q107" s="76">
        <f t="shared" si="57"/>
        <v>0</v>
      </c>
      <c r="R107" s="76">
        <f t="shared" si="57"/>
        <v>0</v>
      </c>
      <c r="S107" s="76">
        <f t="shared" si="57"/>
        <v>0</v>
      </c>
      <c r="T107" s="76">
        <f t="shared" si="57"/>
        <v>0</v>
      </c>
      <c r="U107" s="76">
        <f t="shared" si="57"/>
        <v>0</v>
      </c>
      <c r="V107" s="76">
        <f t="shared" si="57"/>
        <v>0</v>
      </c>
      <c r="W107" s="64"/>
    </row>
    <row r="108" spans="1:66" s="29" customFormat="1" ht="12.75" customHeight="1" x14ac:dyDescent="0.2">
      <c r="A108" s="158"/>
      <c r="B108" s="7" t="s">
        <v>153</v>
      </c>
      <c r="C108" s="6" t="s">
        <v>107</v>
      </c>
      <c r="D108" s="79">
        <v>3187673559.8000002</v>
      </c>
      <c r="E108" s="72">
        <f>SUM(E109:E110)</f>
        <v>0</v>
      </c>
      <c r="F108" s="72">
        <f>SUM(F109:F110)</f>
        <v>0</v>
      </c>
      <c r="G108" s="72">
        <f>SUM(G109:G110)</f>
        <v>0</v>
      </c>
      <c r="H108" s="72">
        <f>SUM(H109:H110)</f>
        <v>0</v>
      </c>
      <c r="I108" s="79">
        <f t="shared" si="55"/>
        <v>3187673559.8000002</v>
      </c>
      <c r="J108" s="83">
        <v>0</v>
      </c>
      <c r="K108" s="83">
        <v>0</v>
      </c>
      <c r="L108" s="83">
        <v>0</v>
      </c>
      <c r="M108" s="83">
        <v>0</v>
      </c>
      <c r="N108" s="83">
        <v>0</v>
      </c>
      <c r="O108" s="83">
        <v>0</v>
      </c>
      <c r="P108" s="83">
        <v>0</v>
      </c>
      <c r="Q108" s="83">
        <v>0</v>
      </c>
      <c r="R108" s="83">
        <v>0</v>
      </c>
      <c r="S108" s="83">
        <v>0</v>
      </c>
      <c r="T108" s="83">
        <v>0</v>
      </c>
      <c r="U108" s="83">
        <v>0</v>
      </c>
      <c r="V108" s="83">
        <v>0</v>
      </c>
      <c r="W108" s="64"/>
      <c r="Z108" s="64"/>
      <c r="AA108" s="64"/>
      <c r="AB108" s="64"/>
      <c r="AC108" s="64"/>
      <c r="AD108" s="64"/>
      <c r="AE108" s="64"/>
      <c r="AF108" s="64"/>
    </row>
    <row r="109" spans="1:66" s="29" customFormat="1" ht="12.75" customHeight="1" x14ac:dyDescent="0.2">
      <c r="A109" s="158"/>
      <c r="B109" s="7" t="s">
        <v>154</v>
      </c>
      <c r="C109" s="6" t="s">
        <v>53</v>
      </c>
      <c r="D109" s="79">
        <v>699189005.20000005</v>
      </c>
      <c r="E109" s="79">
        <v>0</v>
      </c>
      <c r="F109" s="79">
        <v>0</v>
      </c>
      <c r="G109" s="79">
        <v>0</v>
      </c>
      <c r="H109" s="79">
        <v>0</v>
      </c>
      <c r="I109" s="79">
        <f t="shared" si="55"/>
        <v>699189005.20000005</v>
      </c>
      <c r="J109" s="83">
        <v>0</v>
      </c>
      <c r="K109" s="83">
        <v>0</v>
      </c>
      <c r="L109" s="83">
        <v>0</v>
      </c>
      <c r="M109" s="83">
        <v>0</v>
      </c>
      <c r="N109" s="83">
        <v>0</v>
      </c>
      <c r="O109" s="83">
        <v>0</v>
      </c>
      <c r="P109" s="83">
        <v>0</v>
      </c>
      <c r="Q109" s="83">
        <v>0</v>
      </c>
      <c r="R109" s="83">
        <v>0</v>
      </c>
      <c r="S109" s="83">
        <v>0</v>
      </c>
      <c r="T109" s="83">
        <v>0</v>
      </c>
      <c r="U109" s="83">
        <v>0</v>
      </c>
      <c r="V109" s="83">
        <v>0</v>
      </c>
      <c r="W109" s="64"/>
    </row>
    <row r="110" spans="1:66" s="29" customFormat="1" x14ac:dyDescent="0.2">
      <c r="A110" s="158"/>
      <c r="B110" s="24" t="s">
        <v>110</v>
      </c>
      <c r="C110" s="27" t="s">
        <v>56</v>
      </c>
      <c r="D110" s="74">
        <f>+D111</f>
        <v>1500000000</v>
      </c>
      <c r="E110" s="74">
        <f t="shared" ref="E110:H110" si="58">+E111</f>
        <v>0</v>
      </c>
      <c r="F110" s="74">
        <f t="shared" si="58"/>
        <v>0</v>
      </c>
      <c r="G110" s="74">
        <f t="shared" si="58"/>
        <v>0</v>
      </c>
      <c r="H110" s="74">
        <f t="shared" si="58"/>
        <v>0</v>
      </c>
      <c r="I110" s="74">
        <f>+D110+E110-F110+G110-H110</f>
        <v>1500000000</v>
      </c>
      <c r="J110" s="74">
        <f>+J111</f>
        <v>0</v>
      </c>
      <c r="K110" s="74">
        <f t="shared" ref="K110:V110" si="59">+K111</f>
        <v>0</v>
      </c>
      <c r="L110" s="74">
        <f t="shared" si="59"/>
        <v>0</v>
      </c>
      <c r="M110" s="74">
        <f t="shared" si="59"/>
        <v>0</v>
      </c>
      <c r="N110" s="74">
        <f t="shared" si="59"/>
        <v>0</v>
      </c>
      <c r="O110" s="74">
        <f t="shared" si="59"/>
        <v>0</v>
      </c>
      <c r="P110" s="74">
        <f t="shared" si="59"/>
        <v>0</v>
      </c>
      <c r="Q110" s="74">
        <f t="shared" si="59"/>
        <v>0</v>
      </c>
      <c r="R110" s="74">
        <f t="shared" si="59"/>
        <v>0</v>
      </c>
      <c r="S110" s="74">
        <f t="shared" si="59"/>
        <v>0</v>
      </c>
      <c r="T110" s="74">
        <f t="shared" si="59"/>
        <v>0</v>
      </c>
      <c r="U110" s="74">
        <f t="shared" si="59"/>
        <v>0</v>
      </c>
      <c r="V110" s="74">
        <f t="shared" si="59"/>
        <v>0</v>
      </c>
      <c r="W110" s="64"/>
    </row>
    <row r="111" spans="1:66" s="30" customFormat="1" ht="127.5" customHeight="1" x14ac:dyDescent="0.2">
      <c r="A111" s="159"/>
      <c r="B111" s="23" t="s">
        <v>155</v>
      </c>
      <c r="C111" s="93" t="s">
        <v>199</v>
      </c>
      <c r="D111" s="76">
        <f>D112</f>
        <v>1500000000</v>
      </c>
      <c r="E111" s="76">
        <f>E112</f>
        <v>0</v>
      </c>
      <c r="F111" s="76">
        <f t="shared" ref="F111:H111" si="60">F112</f>
        <v>0</v>
      </c>
      <c r="G111" s="76">
        <f t="shared" si="60"/>
        <v>0</v>
      </c>
      <c r="H111" s="76">
        <f t="shared" si="60"/>
        <v>0</v>
      </c>
      <c r="I111" s="76">
        <f t="shared" ref="I111:I112" si="61">+D111+E111-F111+G111-H111</f>
        <v>1500000000</v>
      </c>
      <c r="J111" s="76">
        <f>J112</f>
        <v>0</v>
      </c>
      <c r="K111" s="76">
        <f t="shared" ref="K111:V111" si="62">K112</f>
        <v>0</v>
      </c>
      <c r="L111" s="76">
        <f t="shared" si="62"/>
        <v>0</v>
      </c>
      <c r="M111" s="76">
        <f t="shared" si="62"/>
        <v>0</v>
      </c>
      <c r="N111" s="76">
        <f t="shared" si="62"/>
        <v>0</v>
      </c>
      <c r="O111" s="76">
        <f t="shared" si="62"/>
        <v>0</v>
      </c>
      <c r="P111" s="76">
        <f t="shared" si="62"/>
        <v>0</v>
      </c>
      <c r="Q111" s="76">
        <f t="shared" si="62"/>
        <v>0</v>
      </c>
      <c r="R111" s="76">
        <f t="shared" si="62"/>
        <v>0</v>
      </c>
      <c r="S111" s="76">
        <f t="shared" si="62"/>
        <v>0</v>
      </c>
      <c r="T111" s="76">
        <f t="shared" si="62"/>
        <v>0</v>
      </c>
      <c r="U111" s="76">
        <f t="shared" si="62"/>
        <v>0</v>
      </c>
      <c r="V111" s="76">
        <f t="shared" si="62"/>
        <v>0</v>
      </c>
      <c r="W111" s="64"/>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row>
    <row r="112" spans="1:66" s="29" customFormat="1" ht="12.75" customHeight="1" x14ac:dyDescent="0.2">
      <c r="A112" s="158"/>
      <c r="B112" s="92" t="s">
        <v>156</v>
      </c>
      <c r="C112" s="6" t="s">
        <v>53</v>
      </c>
      <c r="D112" s="79">
        <v>1500000000</v>
      </c>
      <c r="E112" s="79">
        <v>0</v>
      </c>
      <c r="F112" s="79">
        <v>0</v>
      </c>
      <c r="G112" s="79">
        <v>0</v>
      </c>
      <c r="H112" s="79">
        <v>0</v>
      </c>
      <c r="I112" s="79">
        <f t="shared" si="61"/>
        <v>1500000000</v>
      </c>
      <c r="J112" s="63">
        <v>0</v>
      </c>
      <c r="K112" s="63">
        <v>0</v>
      </c>
      <c r="L112" s="63">
        <v>0</v>
      </c>
      <c r="M112" s="63">
        <v>0</v>
      </c>
      <c r="N112" s="63">
        <v>0</v>
      </c>
      <c r="O112" s="63">
        <v>0</v>
      </c>
      <c r="P112" s="63">
        <v>0</v>
      </c>
      <c r="Q112" s="63">
        <v>0</v>
      </c>
      <c r="R112" s="63">
        <v>0</v>
      </c>
      <c r="S112" s="63">
        <v>0</v>
      </c>
      <c r="T112" s="63">
        <v>0</v>
      </c>
      <c r="U112" s="63">
        <v>0</v>
      </c>
      <c r="V112" s="63">
        <v>0</v>
      </c>
      <c r="W112" s="64"/>
    </row>
    <row r="113" spans="1:66" s="26" customFormat="1" x14ac:dyDescent="0.2">
      <c r="A113" s="157"/>
      <c r="B113" s="7">
        <v>2</v>
      </c>
      <c r="C113" s="172" t="s">
        <v>45</v>
      </c>
      <c r="D113" s="72">
        <f>D114+D123</f>
        <v>96287719324.70993</v>
      </c>
      <c r="E113" s="83">
        <f>SUM(E114:E114)</f>
        <v>0</v>
      </c>
      <c r="F113" s="83">
        <f>SUM(F114:F114)</f>
        <v>0</v>
      </c>
      <c r="G113" s="83">
        <f>SUM(G114:G114)</f>
        <v>0</v>
      </c>
      <c r="H113" s="83">
        <f>SUM(H114:H114)</f>
        <v>0</v>
      </c>
      <c r="I113" s="83">
        <f>I114+I123</f>
        <v>96287719324.70993</v>
      </c>
      <c r="J113" s="83">
        <f t="shared" ref="J113:V113" si="63">SUM(J114:J114)</f>
        <v>0</v>
      </c>
      <c r="K113" s="83">
        <f t="shared" si="63"/>
        <v>0</v>
      </c>
      <c r="L113" s="83">
        <f t="shared" si="63"/>
        <v>0</v>
      </c>
      <c r="M113" s="83">
        <f t="shared" si="63"/>
        <v>0</v>
      </c>
      <c r="N113" s="83">
        <f t="shared" si="63"/>
        <v>0</v>
      </c>
      <c r="O113" s="83">
        <f t="shared" si="63"/>
        <v>0</v>
      </c>
      <c r="P113" s="83">
        <f t="shared" si="63"/>
        <v>0</v>
      </c>
      <c r="Q113" s="83">
        <f t="shared" si="63"/>
        <v>0</v>
      </c>
      <c r="R113" s="83">
        <f t="shared" si="63"/>
        <v>0</v>
      </c>
      <c r="S113" s="83">
        <f t="shared" si="63"/>
        <v>0</v>
      </c>
      <c r="T113" s="83">
        <f t="shared" si="63"/>
        <v>0</v>
      </c>
      <c r="U113" s="83">
        <f t="shared" si="63"/>
        <v>0</v>
      </c>
      <c r="V113" s="83">
        <f t="shared" si="63"/>
        <v>0</v>
      </c>
      <c r="W113" s="64"/>
    </row>
    <row r="114" spans="1:66" s="32" customFormat="1" x14ac:dyDescent="0.2">
      <c r="A114" s="159" t="s">
        <v>297</v>
      </c>
      <c r="B114" s="31"/>
      <c r="C114" s="178" t="s">
        <v>19</v>
      </c>
      <c r="D114" s="85">
        <f>D115+D116+D117+D118+D119+D120+D121+D122</f>
        <v>563677650.01999998</v>
      </c>
      <c r="E114" s="85"/>
      <c r="F114" s="85"/>
      <c r="G114" s="85"/>
      <c r="H114" s="85"/>
      <c r="I114" s="85">
        <f>D114+E114-F114+G114-H114</f>
        <v>563677650.01999998</v>
      </c>
      <c r="J114" s="85">
        <f>J115+J116+J117+J118+J119+J120+J121+J122</f>
        <v>0</v>
      </c>
      <c r="K114" s="85">
        <f t="shared" ref="K114:V114" si="64">K115+K116+K117+K118+K119+K120+K121+K122</f>
        <v>0</v>
      </c>
      <c r="L114" s="85">
        <f t="shared" si="64"/>
        <v>0</v>
      </c>
      <c r="M114" s="85">
        <f t="shared" si="64"/>
        <v>0</v>
      </c>
      <c r="N114" s="85">
        <f t="shared" si="64"/>
        <v>0</v>
      </c>
      <c r="O114" s="85">
        <f t="shared" si="64"/>
        <v>0</v>
      </c>
      <c r="P114" s="85">
        <f t="shared" si="64"/>
        <v>0</v>
      </c>
      <c r="Q114" s="85">
        <f t="shared" si="64"/>
        <v>0</v>
      </c>
      <c r="R114" s="85">
        <f t="shared" si="64"/>
        <v>0</v>
      </c>
      <c r="S114" s="85">
        <f t="shared" si="64"/>
        <v>0</v>
      </c>
      <c r="T114" s="85">
        <f t="shared" si="64"/>
        <v>0</v>
      </c>
      <c r="U114" s="85">
        <f t="shared" si="64"/>
        <v>0</v>
      </c>
      <c r="V114" s="85">
        <f t="shared" si="64"/>
        <v>0</v>
      </c>
      <c r="W114" s="64"/>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c r="AV114" s="29"/>
      <c r="AW114" s="29"/>
      <c r="AX114" s="29"/>
      <c r="AY114" s="29"/>
      <c r="AZ114" s="29"/>
      <c r="BA114" s="29"/>
      <c r="BB114" s="29"/>
      <c r="BC114" s="29"/>
      <c r="BD114" s="29"/>
      <c r="BE114" s="29"/>
      <c r="BF114" s="29"/>
      <c r="BG114" s="29"/>
      <c r="BH114" s="29"/>
      <c r="BI114" s="29"/>
      <c r="BJ114" s="29"/>
      <c r="BK114" s="29"/>
      <c r="BL114" s="29"/>
      <c r="BM114" s="29"/>
      <c r="BN114" s="29"/>
    </row>
    <row r="115" spans="1:66" s="29" customFormat="1" ht="20.25" customHeight="1" x14ac:dyDescent="0.2">
      <c r="A115" s="152">
        <v>919</v>
      </c>
      <c r="B115" s="146" t="s">
        <v>190</v>
      </c>
      <c r="C115" s="165" t="s">
        <v>102</v>
      </c>
      <c r="D115" s="96">
        <v>9880000</v>
      </c>
      <c r="E115" s="83">
        <v>0</v>
      </c>
      <c r="F115" s="83">
        <v>0</v>
      </c>
      <c r="G115" s="83">
        <v>0</v>
      </c>
      <c r="H115" s="83">
        <v>0</v>
      </c>
      <c r="I115" s="96">
        <f>D115+E115-F115+G115-H115</f>
        <v>9880000</v>
      </c>
      <c r="J115" s="83">
        <v>0</v>
      </c>
      <c r="K115" s="83">
        <v>0</v>
      </c>
      <c r="L115" s="83">
        <v>0</v>
      </c>
      <c r="M115" s="83">
        <v>0</v>
      </c>
      <c r="N115" s="83">
        <v>0</v>
      </c>
      <c r="O115" s="83">
        <v>0</v>
      </c>
      <c r="P115" s="83">
        <v>0</v>
      </c>
      <c r="Q115" s="83">
        <v>0</v>
      </c>
      <c r="R115" s="83">
        <v>0</v>
      </c>
      <c r="S115" s="83">
        <v>0</v>
      </c>
      <c r="T115" s="83">
        <v>0</v>
      </c>
      <c r="U115" s="83">
        <v>0</v>
      </c>
      <c r="V115" s="83">
        <v>0</v>
      </c>
      <c r="W115" s="64"/>
    </row>
    <row r="116" spans="1:66" s="29" customFormat="1" x14ac:dyDescent="0.2">
      <c r="A116" s="152">
        <v>1151</v>
      </c>
      <c r="B116" s="146" t="s">
        <v>190</v>
      </c>
      <c r="C116" s="165" t="s">
        <v>102</v>
      </c>
      <c r="D116" s="96">
        <v>1250000</v>
      </c>
      <c r="E116" s="83">
        <v>0</v>
      </c>
      <c r="F116" s="83">
        <v>0</v>
      </c>
      <c r="G116" s="83">
        <v>0</v>
      </c>
      <c r="H116" s="83">
        <v>0</v>
      </c>
      <c r="I116" s="96">
        <f>D116+E116-F116+G116-H116</f>
        <v>1250000</v>
      </c>
      <c r="J116" s="83">
        <v>0</v>
      </c>
      <c r="K116" s="83">
        <v>0</v>
      </c>
      <c r="L116" s="83">
        <v>0</v>
      </c>
      <c r="M116" s="83">
        <v>0</v>
      </c>
      <c r="N116" s="83">
        <v>0</v>
      </c>
      <c r="O116" s="83">
        <v>0</v>
      </c>
      <c r="P116" s="83">
        <v>0</v>
      </c>
      <c r="Q116" s="83">
        <v>0</v>
      </c>
      <c r="R116" s="83">
        <v>0</v>
      </c>
      <c r="S116" s="83">
        <v>0</v>
      </c>
      <c r="T116" s="83">
        <v>0</v>
      </c>
      <c r="U116" s="83">
        <v>0</v>
      </c>
      <c r="V116" s="83">
        <v>0</v>
      </c>
      <c r="W116" s="64"/>
    </row>
    <row r="117" spans="1:66" s="29" customFormat="1" ht="24" x14ac:dyDescent="0.2">
      <c r="A117" s="152">
        <v>1226</v>
      </c>
      <c r="B117" s="146" t="s">
        <v>113</v>
      </c>
      <c r="C117" s="165" t="s">
        <v>101</v>
      </c>
      <c r="D117" s="96">
        <v>4000000.02</v>
      </c>
      <c r="E117" s="83">
        <v>0</v>
      </c>
      <c r="F117" s="83">
        <v>0</v>
      </c>
      <c r="G117" s="83">
        <v>0</v>
      </c>
      <c r="H117" s="83">
        <v>0</v>
      </c>
      <c r="I117" s="96">
        <f>D117+E117-F117+G117-H117</f>
        <v>4000000.02</v>
      </c>
      <c r="J117" s="83">
        <v>0</v>
      </c>
      <c r="K117" s="83">
        <v>0</v>
      </c>
      <c r="L117" s="83">
        <v>0</v>
      </c>
      <c r="M117" s="83">
        <v>0</v>
      </c>
      <c r="N117" s="83">
        <v>0</v>
      </c>
      <c r="O117" s="83">
        <v>0</v>
      </c>
      <c r="P117" s="83">
        <v>0</v>
      </c>
      <c r="Q117" s="83">
        <v>0</v>
      </c>
      <c r="R117" s="83">
        <v>0</v>
      </c>
      <c r="S117" s="83">
        <v>0</v>
      </c>
      <c r="T117" s="83">
        <v>0</v>
      </c>
      <c r="U117" s="83">
        <v>0</v>
      </c>
      <c r="V117" s="83">
        <v>0</v>
      </c>
      <c r="W117" s="64"/>
    </row>
    <row r="118" spans="1:66" s="29" customFormat="1" ht="23.25" customHeight="1" x14ac:dyDescent="0.2">
      <c r="A118" s="152">
        <v>1227</v>
      </c>
      <c r="B118" s="146" t="s">
        <v>208</v>
      </c>
      <c r="C118" s="165" t="s">
        <v>101</v>
      </c>
      <c r="D118" s="96">
        <v>6600000</v>
      </c>
      <c r="E118" s="83">
        <v>0</v>
      </c>
      <c r="F118" s="83">
        <v>0</v>
      </c>
      <c r="G118" s="83">
        <v>0</v>
      </c>
      <c r="H118" s="83">
        <v>0</v>
      </c>
      <c r="I118" s="96">
        <f t="shared" ref="I118:I122" si="65">D118+E118-F118+G118-H118</f>
        <v>6600000</v>
      </c>
      <c r="J118" s="83">
        <v>0</v>
      </c>
      <c r="K118" s="83">
        <v>0</v>
      </c>
      <c r="L118" s="83">
        <v>0</v>
      </c>
      <c r="M118" s="83">
        <v>0</v>
      </c>
      <c r="N118" s="83">
        <v>0</v>
      </c>
      <c r="O118" s="83">
        <v>0</v>
      </c>
      <c r="P118" s="83">
        <v>0</v>
      </c>
      <c r="Q118" s="83">
        <v>0</v>
      </c>
      <c r="R118" s="83">
        <v>0</v>
      </c>
      <c r="S118" s="83">
        <v>0</v>
      </c>
      <c r="T118" s="83">
        <v>0</v>
      </c>
      <c r="U118" s="83">
        <v>0</v>
      </c>
      <c r="V118" s="83">
        <v>0</v>
      </c>
      <c r="W118" s="64"/>
    </row>
    <row r="119" spans="1:66" s="29" customFormat="1" x14ac:dyDescent="0.2">
      <c r="A119" s="152">
        <v>1562</v>
      </c>
      <c r="B119" s="146" t="s">
        <v>114</v>
      </c>
      <c r="C119" s="165" t="s">
        <v>102</v>
      </c>
      <c r="D119" s="96">
        <v>47580000</v>
      </c>
      <c r="E119" s="83">
        <v>0</v>
      </c>
      <c r="F119" s="83">
        <v>0</v>
      </c>
      <c r="G119" s="83">
        <v>0</v>
      </c>
      <c r="H119" s="83">
        <v>0</v>
      </c>
      <c r="I119" s="96">
        <f t="shared" si="65"/>
        <v>47580000</v>
      </c>
      <c r="J119" s="83">
        <v>0</v>
      </c>
      <c r="K119" s="83">
        <v>0</v>
      </c>
      <c r="L119" s="83">
        <v>0</v>
      </c>
      <c r="M119" s="83">
        <v>0</v>
      </c>
      <c r="N119" s="83">
        <v>0</v>
      </c>
      <c r="O119" s="83">
        <v>0</v>
      </c>
      <c r="P119" s="83">
        <v>0</v>
      </c>
      <c r="Q119" s="83">
        <v>0</v>
      </c>
      <c r="R119" s="83">
        <v>0</v>
      </c>
      <c r="S119" s="83">
        <v>0</v>
      </c>
      <c r="T119" s="83">
        <v>0</v>
      </c>
      <c r="U119" s="83">
        <v>0</v>
      </c>
      <c r="V119" s="83">
        <v>0</v>
      </c>
      <c r="W119" s="64"/>
    </row>
    <row r="120" spans="1:66" s="29" customFormat="1" x14ac:dyDescent="0.2">
      <c r="A120" s="152">
        <v>1643</v>
      </c>
      <c r="B120" s="146" t="s">
        <v>117</v>
      </c>
      <c r="C120" s="165" t="s">
        <v>248</v>
      </c>
      <c r="D120" s="96">
        <v>199811628.59</v>
      </c>
      <c r="E120" s="83">
        <v>0</v>
      </c>
      <c r="F120" s="83">
        <v>0</v>
      </c>
      <c r="G120" s="83">
        <v>0</v>
      </c>
      <c r="H120" s="83">
        <v>0</v>
      </c>
      <c r="I120" s="96">
        <f t="shared" si="65"/>
        <v>199811628.59</v>
      </c>
      <c r="J120" s="83">
        <v>0</v>
      </c>
      <c r="K120" s="83">
        <v>0</v>
      </c>
      <c r="L120" s="83">
        <v>0</v>
      </c>
      <c r="M120" s="83">
        <v>0</v>
      </c>
      <c r="N120" s="83">
        <v>0</v>
      </c>
      <c r="O120" s="83">
        <v>0</v>
      </c>
      <c r="P120" s="83">
        <v>0</v>
      </c>
      <c r="Q120" s="83">
        <v>0</v>
      </c>
      <c r="R120" s="83">
        <v>0</v>
      </c>
      <c r="S120" s="83">
        <v>0</v>
      </c>
      <c r="T120" s="83">
        <v>0</v>
      </c>
      <c r="U120" s="83">
        <v>0</v>
      </c>
      <c r="V120" s="83">
        <v>0</v>
      </c>
      <c r="W120" s="64"/>
    </row>
    <row r="121" spans="1:66" s="29" customFormat="1" x14ac:dyDescent="0.2">
      <c r="A121" s="152">
        <v>1644</v>
      </c>
      <c r="B121" s="146" t="s">
        <v>204</v>
      </c>
      <c r="C121" s="165" t="s">
        <v>248</v>
      </c>
      <c r="D121" s="96">
        <v>284242688.41000003</v>
      </c>
      <c r="E121" s="83">
        <v>0</v>
      </c>
      <c r="F121" s="83">
        <v>0</v>
      </c>
      <c r="G121" s="83">
        <v>0</v>
      </c>
      <c r="H121" s="83">
        <v>0</v>
      </c>
      <c r="I121" s="96">
        <f t="shared" si="65"/>
        <v>284242688.41000003</v>
      </c>
      <c r="J121" s="83">
        <v>0</v>
      </c>
      <c r="K121" s="83">
        <v>0</v>
      </c>
      <c r="L121" s="83">
        <v>0</v>
      </c>
      <c r="M121" s="83">
        <v>0</v>
      </c>
      <c r="N121" s="83">
        <v>0</v>
      </c>
      <c r="O121" s="83">
        <v>0</v>
      </c>
      <c r="P121" s="83">
        <v>0</v>
      </c>
      <c r="Q121" s="83">
        <v>0</v>
      </c>
      <c r="R121" s="83">
        <v>0</v>
      </c>
      <c r="S121" s="83">
        <v>0</v>
      </c>
      <c r="T121" s="83">
        <v>0</v>
      </c>
      <c r="U121" s="83">
        <v>0</v>
      </c>
      <c r="V121" s="83">
        <v>0</v>
      </c>
      <c r="W121" s="64"/>
    </row>
    <row r="122" spans="1:66" s="29" customFormat="1" x14ac:dyDescent="0.2">
      <c r="A122" s="152">
        <v>1645</v>
      </c>
      <c r="B122" s="146" t="s">
        <v>114</v>
      </c>
      <c r="C122" s="165" t="s">
        <v>102</v>
      </c>
      <c r="D122" s="96">
        <v>10313333</v>
      </c>
      <c r="E122" s="83">
        <v>0</v>
      </c>
      <c r="F122" s="83">
        <v>0</v>
      </c>
      <c r="G122" s="83">
        <v>0</v>
      </c>
      <c r="H122" s="83">
        <v>0</v>
      </c>
      <c r="I122" s="96">
        <f t="shared" si="65"/>
        <v>10313333</v>
      </c>
      <c r="J122" s="83">
        <v>0</v>
      </c>
      <c r="K122" s="83">
        <v>0</v>
      </c>
      <c r="L122" s="83">
        <v>0</v>
      </c>
      <c r="M122" s="83">
        <v>0</v>
      </c>
      <c r="N122" s="83">
        <v>0</v>
      </c>
      <c r="O122" s="83">
        <v>0</v>
      </c>
      <c r="P122" s="83">
        <v>0</v>
      </c>
      <c r="Q122" s="83">
        <v>0</v>
      </c>
      <c r="R122" s="83">
        <v>0</v>
      </c>
      <c r="S122" s="83">
        <v>0</v>
      </c>
      <c r="T122" s="83">
        <v>0</v>
      </c>
      <c r="U122" s="83">
        <v>0</v>
      </c>
      <c r="V122" s="83">
        <v>0</v>
      </c>
      <c r="W122" s="64"/>
    </row>
    <row r="123" spans="1:66" s="26" customFormat="1" x14ac:dyDescent="0.2">
      <c r="A123" s="157"/>
      <c r="B123" s="31"/>
      <c r="C123" s="178" t="s">
        <v>20</v>
      </c>
      <c r="D123" s="85">
        <f>SUM(D124:D245)</f>
        <v>95724041674.689926</v>
      </c>
      <c r="E123" s="85">
        <f t="shared" ref="E123:V123" si="66">SUM(E124:E245)</f>
        <v>0</v>
      </c>
      <c r="F123" s="85">
        <f t="shared" si="66"/>
        <v>0</v>
      </c>
      <c r="G123" s="85">
        <f t="shared" si="66"/>
        <v>0</v>
      </c>
      <c r="H123" s="85">
        <f t="shared" si="66"/>
        <v>0</v>
      </c>
      <c r="I123" s="85">
        <f t="shared" si="66"/>
        <v>95724041674.689926</v>
      </c>
      <c r="J123" s="85">
        <f t="shared" si="66"/>
        <v>0</v>
      </c>
      <c r="K123" s="85">
        <f t="shared" si="66"/>
        <v>0</v>
      </c>
      <c r="L123" s="85">
        <f t="shared" si="66"/>
        <v>0</v>
      </c>
      <c r="M123" s="85">
        <f t="shared" si="66"/>
        <v>0</v>
      </c>
      <c r="N123" s="85">
        <f t="shared" si="66"/>
        <v>0</v>
      </c>
      <c r="O123" s="85">
        <f t="shared" si="66"/>
        <v>0</v>
      </c>
      <c r="P123" s="85">
        <f t="shared" si="66"/>
        <v>0</v>
      </c>
      <c r="Q123" s="85">
        <f t="shared" si="66"/>
        <v>0</v>
      </c>
      <c r="R123" s="85">
        <f t="shared" si="66"/>
        <v>0</v>
      </c>
      <c r="S123" s="85">
        <f t="shared" si="66"/>
        <v>0</v>
      </c>
      <c r="T123" s="85">
        <f t="shared" si="66"/>
        <v>0</v>
      </c>
      <c r="U123" s="85">
        <f t="shared" si="66"/>
        <v>0</v>
      </c>
      <c r="V123" s="85">
        <f t="shared" si="66"/>
        <v>0</v>
      </c>
      <c r="W123" s="64">
        <f>I123-V123</f>
        <v>95724041674.689926</v>
      </c>
    </row>
    <row r="124" spans="1:66" x14ac:dyDescent="0.2">
      <c r="A124" s="160">
        <v>1</v>
      </c>
      <c r="B124" s="9" t="s">
        <v>151</v>
      </c>
      <c r="C124" s="8" t="s">
        <v>249</v>
      </c>
      <c r="D124" s="86">
        <v>14505783332.620001</v>
      </c>
      <c r="E124" s="88">
        <v>0</v>
      </c>
      <c r="F124" s="88">
        <v>0</v>
      </c>
      <c r="G124" s="88">
        <v>0</v>
      </c>
      <c r="H124" s="88">
        <v>0</v>
      </c>
      <c r="I124" s="147">
        <f t="shared" ref="I124:I187" si="67">D124+E124-F124+G124-H124</f>
        <v>14505783332.620001</v>
      </c>
      <c r="J124" s="147">
        <v>0</v>
      </c>
      <c r="K124" s="147">
        <v>0</v>
      </c>
      <c r="L124" s="147">
        <v>0</v>
      </c>
      <c r="M124" s="147">
        <v>0</v>
      </c>
      <c r="N124" s="147">
        <v>0</v>
      </c>
      <c r="O124" s="147">
        <v>0</v>
      </c>
      <c r="P124" s="147">
        <v>0</v>
      </c>
      <c r="Q124" s="147">
        <v>0</v>
      </c>
      <c r="R124" s="147">
        <v>0</v>
      </c>
      <c r="S124" s="147">
        <v>0</v>
      </c>
      <c r="T124" s="147">
        <v>0</v>
      </c>
      <c r="U124" s="147">
        <v>0</v>
      </c>
      <c r="V124" s="147">
        <v>0</v>
      </c>
      <c r="W124" s="64">
        <f>I124-V124</f>
        <v>14505783332.620001</v>
      </c>
    </row>
    <row r="125" spans="1:66" x14ac:dyDescent="0.2">
      <c r="A125" s="160">
        <v>2</v>
      </c>
      <c r="B125" s="9" t="s">
        <v>197</v>
      </c>
      <c r="C125" s="8" t="s">
        <v>107</v>
      </c>
      <c r="D125" s="86">
        <v>63827916809</v>
      </c>
      <c r="E125" s="88">
        <v>0</v>
      </c>
      <c r="F125" s="88">
        <v>0</v>
      </c>
      <c r="G125" s="88">
        <v>0</v>
      </c>
      <c r="H125" s="88">
        <v>0</v>
      </c>
      <c r="I125" s="147">
        <f t="shared" si="67"/>
        <v>63827916809</v>
      </c>
      <c r="J125" s="147">
        <v>0</v>
      </c>
      <c r="K125" s="147">
        <v>0</v>
      </c>
      <c r="L125" s="147">
        <v>0</v>
      </c>
      <c r="M125" s="147">
        <v>0</v>
      </c>
      <c r="N125" s="147">
        <v>0</v>
      </c>
      <c r="O125" s="147">
        <v>0</v>
      </c>
      <c r="P125" s="147">
        <v>0</v>
      </c>
      <c r="Q125" s="147">
        <v>0</v>
      </c>
      <c r="R125" s="147">
        <v>0</v>
      </c>
      <c r="S125" s="147">
        <v>0</v>
      </c>
      <c r="T125" s="147">
        <v>0</v>
      </c>
      <c r="U125" s="147">
        <v>0</v>
      </c>
      <c r="V125" s="147">
        <v>0</v>
      </c>
      <c r="W125" s="64">
        <f t="shared" ref="W125:W188" si="68">I125-V125</f>
        <v>63827916809</v>
      </c>
    </row>
    <row r="126" spans="1:66" x14ac:dyDescent="0.2">
      <c r="A126" s="160">
        <v>3</v>
      </c>
      <c r="B126" s="9" t="s">
        <v>250</v>
      </c>
      <c r="C126" s="8" t="s">
        <v>249</v>
      </c>
      <c r="D126" s="86">
        <v>490554655.33999997</v>
      </c>
      <c r="E126" s="88">
        <v>0</v>
      </c>
      <c r="F126" s="88">
        <v>0</v>
      </c>
      <c r="G126" s="88">
        <v>0</v>
      </c>
      <c r="H126" s="88">
        <v>0</v>
      </c>
      <c r="I126" s="147">
        <f t="shared" si="67"/>
        <v>490554655.33999997</v>
      </c>
      <c r="J126" s="147">
        <v>0</v>
      </c>
      <c r="K126" s="147">
        <v>0</v>
      </c>
      <c r="L126" s="147">
        <v>0</v>
      </c>
      <c r="M126" s="147">
        <v>0</v>
      </c>
      <c r="N126" s="147">
        <v>0</v>
      </c>
      <c r="O126" s="147">
        <v>0</v>
      </c>
      <c r="P126" s="147">
        <v>0</v>
      </c>
      <c r="Q126" s="147">
        <v>0</v>
      </c>
      <c r="R126" s="147">
        <v>0</v>
      </c>
      <c r="S126" s="147">
        <v>0</v>
      </c>
      <c r="T126" s="147">
        <v>0</v>
      </c>
      <c r="U126" s="147">
        <v>0</v>
      </c>
      <c r="V126" s="147">
        <v>0</v>
      </c>
      <c r="W126" s="64">
        <f t="shared" si="68"/>
        <v>490554655.33999997</v>
      </c>
    </row>
    <row r="127" spans="1:66" x14ac:dyDescent="0.2">
      <c r="A127" s="160">
        <v>4</v>
      </c>
      <c r="B127" s="9" t="s">
        <v>251</v>
      </c>
      <c r="C127" s="8" t="s">
        <v>107</v>
      </c>
      <c r="D127" s="86">
        <v>2102462019.4000001</v>
      </c>
      <c r="E127" s="88">
        <v>0</v>
      </c>
      <c r="F127" s="88">
        <v>0</v>
      </c>
      <c r="G127" s="88">
        <v>0</v>
      </c>
      <c r="H127" s="88">
        <v>0</v>
      </c>
      <c r="I127" s="147">
        <f t="shared" si="67"/>
        <v>2102462019.4000001</v>
      </c>
      <c r="J127" s="147">
        <v>0</v>
      </c>
      <c r="K127" s="147">
        <v>0</v>
      </c>
      <c r="L127" s="147">
        <v>0</v>
      </c>
      <c r="M127" s="147">
        <v>0</v>
      </c>
      <c r="N127" s="147">
        <v>0</v>
      </c>
      <c r="O127" s="147">
        <v>0</v>
      </c>
      <c r="P127" s="147">
        <v>0</v>
      </c>
      <c r="Q127" s="147">
        <v>0</v>
      </c>
      <c r="R127" s="147">
        <v>0</v>
      </c>
      <c r="S127" s="147">
        <v>0</v>
      </c>
      <c r="T127" s="147">
        <v>0</v>
      </c>
      <c r="U127" s="147">
        <v>0</v>
      </c>
      <c r="V127" s="147">
        <v>0</v>
      </c>
      <c r="W127" s="64">
        <f t="shared" si="68"/>
        <v>2102462019.4000001</v>
      </c>
    </row>
    <row r="128" spans="1:66" x14ac:dyDescent="0.2">
      <c r="A128" s="160">
        <v>5</v>
      </c>
      <c r="B128" s="9" t="s">
        <v>251</v>
      </c>
      <c r="C128" s="8" t="s">
        <v>107</v>
      </c>
      <c r="D128" s="86">
        <v>125749927.59999999</v>
      </c>
      <c r="E128" s="88">
        <v>0</v>
      </c>
      <c r="F128" s="88">
        <v>0</v>
      </c>
      <c r="G128" s="88">
        <v>0</v>
      </c>
      <c r="H128" s="88">
        <v>0</v>
      </c>
      <c r="I128" s="147">
        <f t="shared" si="67"/>
        <v>125749927.59999999</v>
      </c>
      <c r="J128" s="147">
        <v>0</v>
      </c>
      <c r="K128" s="147">
        <v>0</v>
      </c>
      <c r="L128" s="147">
        <v>0</v>
      </c>
      <c r="M128" s="147">
        <v>0</v>
      </c>
      <c r="N128" s="147">
        <v>0</v>
      </c>
      <c r="O128" s="147">
        <v>0</v>
      </c>
      <c r="P128" s="147">
        <v>0</v>
      </c>
      <c r="Q128" s="147">
        <v>0</v>
      </c>
      <c r="R128" s="147">
        <v>0</v>
      </c>
      <c r="S128" s="147">
        <v>0</v>
      </c>
      <c r="T128" s="147">
        <v>0</v>
      </c>
      <c r="U128" s="147">
        <v>0</v>
      </c>
      <c r="V128" s="147">
        <v>0</v>
      </c>
      <c r="W128" s="64">
        <f t="shared" si="68"/>
        <v>125749927.59999999</v>
      </c>
    </row>
    <row r="129" spans="1:23" ht="32.25" customHeight="1" x14ac:dyDescent="0.2">
      <c r="A129" s="160">
        <v>6</v>
      </c>
      <c r="B129" s="9" t="s">
        <v>252</v>
      </c>
      <c r="C129" s="8" t="s">
        <v>253</v>
      </c>
      <c r="D129" s="86">
        <v>9048000</v>
      </c>
      <c r="E129" s="88">
        <v>0</v>
      </c>
      <c r="F129" s="88">
        <v>0</v>
      </c>
      <c r="G129" s="88">
        <v>0</v>
      </c>
      <c r="H129" s="88">
        <v>0</v>
      </c>
      <c r="I129" s="147">
        <f t="shared" si="67"/>
        <v>9048000</v>
      </c>
      <c r="J129" s="147">
        <v>0</v>
      </c>
      <c r="K129" s="147">
        <v>0</v>
      </c>
      <c r="L129" s="147">
        <v>0</v>
      </c>
      <c r="M129" s="147">
        <v>0</v>
      </c>
      <c r="N129" s="147">
        <v>0</v>
      </c>
      <c r="O129" s="147">
        <v>0</v>
      </c>
      <c r="P129" s="147">
        <v>0</v>
      </c>
      <c r="Q129" s="147">
        <v>0</v>
      </c>
      <c r="R129" s="147">
        <v>0</v>
      </c>
      <c r="S129" s="147">
        <v>0</v>
      </c>
      <c r="T129" s="147">
        <v>0</v>
      </c>
      <c r="U129" s="147">
        <v>0</v>
      </c>
      <c r="V129" s="147">
        <v>0</v>
      </c>
      <c r="W129" s="64">
        <f t="shared" si="68"/>
        <v>9048000</v>
      </c>
    </row>
    <row r="130" spans="1:23" ht="30" customHeight="1" x14ac:dyDescent="0.2">
      <c r="A130" s="160">
        <v>7</v>
      </c>
      <c r="B130" s="9" t="s">
        <v>252</v>
      </c>
      <c r="C130" s="8" t="s">
        <v>253</v>
      </c>
      <c r="D130" s="86">
        <v>12000000</v>
      </c>
      <c r="E130" s="88">
        <v>0</v>
      </c>
      <c r="F130" s="88">
        <v>0</v>
      </c>
      <c r="G130" s="88">
        <v>0</v>
      </c>
      <c r="H130" s="88">
        <v>0</v>
      </c>
      <c r="I130" s="147">
        <f t="shared" si="67"/>
        <v>12000000</v>
      </c>
      <c r="J130" s="147">
        <v>0</v>
      </c>
      <c r="K130" s="147">
        <v>0</v>
      </c>
      <c r="L130" s="147">
        <v>0</v>
      </c>
      <c r="M130" s="147">
        <v>0</v>
      </c>
      <c r="N130" s="147">
        <v>0</v>
      </c>
      <c r="O130" s="147">
        <v>0</v>
      </c>
      <c r="P130" s="147">
        <v>0</v>
      </c>
      <c r="Q130" s="147">
        <v>0</v>
      </c>
      <c r="R130" s="147">
        <v>0</v>
      </c>
      <c r="S130" s="147">
        <v>0</v>
      </c>
      <c r="T130" s="147">
        <v>0</v>
      </c>
      <c r="U130" s="147">
        <v>0</v>
      </c>
      <c r="V130" s="147">
        <v>0</v>
      </c>
      <c r="W130" s="64">
        <f t="shared" si="68"/>
        <v>12000000</v>
      </c>
    </row>
    <row r="131" spans="1:23" ht="27.75" customHeight="1" x14ac:dyDescent="0.2">
      <c r="A131" s="160">
        <v>8</v>
      </c>
      <c r="B131" s="9" t="s">
        <v>254</v>
      </c>
      <c r="C131" s="8" t="s">
        <v>102</v>
      </c>
      <c r="D131" s="86">
        <v>41974000</v>
      </c>
      <c r="E131" s="88">
        <v>0</v>
      </c>
      <c r="F131" s="88">
        <v>0</v>
      </c>
      <c r="G131" s="88">
        <v>0</v>
      </c>
      <c r="H131" s="88">
        <v>0</v>
      </c>
      <c r="I131" s="147">
        <f t="shared" si="67"/>
        <v>41974000</v>
      </c>
      <c r="J131" s="147">
        <v>0</v>
      </c>
      <c r="K131" s="147">
        <v>0</v>
      </c>
      <c r="L131" s="147">
        <v>0</v>
      </c>
      <c r="M131" s="147">
        <v>0</v>
      </c>
      <c r="N131" s="147">
        <v>0</v>
      </c>
      <c r="O131" s="147">
        <v>0</v>
      </c>
      <c r="P131" s="147">
        <v>0</v>
      </c>
      <c r="Q131" s="147">
        <v>0</v>
      </c>
      <c r="R131" s="147">
        <v>0</v>
      </c>
      <c r="S131" s="147">
        <v>0</v>
      </c>
      <c r="T131" s="147">
        <v>0</v>
      </c>
      <c r="U131" s="147">
        <v>0</v>
      </c>
      <c r="V131" s="147">
        <v>0</v>
      </c>
      <c r="W131" s="64">
        <f t="shared" si="68"/>
        <v>41974000</v>
      </c>
    </row>
    <row r="132" spans="1:23" x14ac:dyDescent="0.2">
      <c r="A132" s="160">
        <v>364</v>
      </c>
      <c r="B132" s="9" t="s">
        <v>147</v>
      </c>
      <c r="C132" s="8" t="s">
        <v>249</v>
      </c>
      <c r="D132" s="86">
        <v>6876100.2000000002</v>
      </c>
      <c r="E132" s="88">
        <v>0</v>
      </c>
      <c r="F132" s="88">
        <v>0</v>
      </c>
      <c r="G132" s="88">
        <v>0</v>
      </c>
      <c r="H132" s="88">
        <v>0</v>
      </c>
      <c r="I132" s="147">
        <f t="shared" si="67"/>
        <v>6876100.2000000002</v>
      </c>
      <c r="J132" s="147">
        <v>0</v>
      </c>
      <c r="K132" s="147">
        <v>0</v>
      </c>
      <c r="L132" s="147">
        <v>0</v>
      </c>
      <c r="M132" s="147">
        <v>0</v>
      </c>
      <c r="N132" s="147">
        <v>0</v>
      </c>
      <c r="O132" s="147">
        <v>0</v>
      </c>
      <c r="P132" s="147">
        <v>0</v>
      </c>
      <c r="Q132" s="147">
        <v>0</v>
      </c>
      <c r="R132" s="147">
        <v>0</v>
      </c>
      <c r="S132" s="147">
        <v>0</v>
      </c>
      <c r="T132" s="147">
        <v>0</v>
      </c>
      <c r="U132" s="147">
        <v>0</v>
      </c>
      <c r="V132" s="147">
        <v>0</v>
      </c>
      <c r="W132" s="64">
        <f t="shared" si="68"/>
        <v>6876100.2000000002</v>
      </c>
    </row>
    <row r="133" spans="1:23" x14ac:dyDescent="0.2">
      <c r="A133" s="160">
        <v>365</v>
      </c>
      <c r="B133" s="9" t="s">
        <v>147</v>
      </c>
      <c r="C133" s="8" t="s">
        <v>249</v>
      </c>
      <c r="D133" s="86">
        <v>3257285.1</v>
      </c>
      <c r="E133" s="88">
        <v>0</v>
      </c>
      <c r="F133" s="88">
        <v>0</v>
      </c>
      <c r="G133" s="88">
        <v>0</v>
      </c>
      <c r="H133" s="88">
        <v>0</v>
      </c>
      <c r="I133" s="147">
        <f t="shared" si="67"/>
        <v>3257285.1</v>
      </c>
      <c r="J133" s="147">
        <v>0</v>
      </c>
      <c r="K133" s="147">
        <v>0</v>
      </c>
      <c r="L133" s="147">
        <v>0</v>
      </c>
      <c r="M133" s="147">
        <v>0</v>
      </c>
      <c r="N133" s="147">
        <v>0</v>
      </c>
      <c r="O133" s="147">
        <v>0</v>
      </c>
      <c r="P133" s="147">
        <v>0</v>
      </c>
      <c r="Q133" s="147">
        <v>0</v>
      </c>
      <c r="R133" s="147">
        <v>0</v>
      </c>
      <c r="S133" s="147">
        <v>0</v>
      </c>
      <c r="T133" s="147">
        <v>0</v>
      </c>
      <c r="U133" s="147">
        <v>0</v>
      </c>
      <c r="V133" s="147">
        <v>0</v>
      </c>
      <c r="W133" s="64">
        <f t="shared" si="68"/>
        <v>3257285.1</v>
      </c>
    </row>
    <row r="134" spans="1:23" x14ac:dyDescent="0.2">
      <c r="A134" s="160">
        <v>366</v>
      </c>
      <c r="B134" s="9" t="s">
        <v>147</v>
      </c>
      <c r="C134" s="8" t="s">
        <v>249</v>
      </c>
      <c r="D134" s="86">
        <v>6296011</v>
      </c>
      <c r="E134" s="88">
        <v>0</v>
      </c>
      <c r="F134" s="88">
        <v>0</v>
      </c>
      <c r="G134" s="88">
        <v>0</v>
      </c>
      <c r="H134" s="88">
        <v>0</v>
      </c>
      <c r="I134" s="147">
        <f t="shared" si="67"/>
        <v>6296011</v>
      </c>
      <c r="J134" s="147">
        <v>0</v>
      </c>
      <c r="K134" s="147">
        <v>0</v>
      </c>
      <c r="L134" s="147">
        <v>0</v>
      </c>
      <c r="M134" s="147">
        <v>0</v>
      </c>
      <c r="N134" s="147">
        <v>0</v>
      </c>
      <c r="O134" s="147">
        <v>0</v>
      </c>
      <c r="P134" s="147">
        <v>0</v>
      </c>
      <c r="Q134" s="147">
        <v>0</v>
      </c>
      <c r="R134" s="147">
        <v>0</v>
      </c>
      <c r="S134" s="147">
        <v>0</v>
      </c>
      <c r="T134" s="147">
        <v>0</v>
      </c>
      <c r="U134" s="147">
        <v>0</v>
      </c>
      <c r="V134" s="147">
        <v>0</v>
      </c>
      <c r="W134" s="64">
        <f t="shared" si="68"/>
        <v>6296011</v>
      </c>
    </row>
    <row r="135" spans="1:23" x14ac:dyDescent="0.2">
      <c r="A135" s="160">
        <v>368</v>
      </c>
      <c r="B135" s="9" t="s">
        <v>147</v>
      </c>
      <c r="C135" s="8" t="s">
        <v>249</v>
      </c>
      <c r="D135" s="86">
        <v>4080139.7</v>
      </c>
      <c r="E135" s="88">
        <v>0</v>
      </c>
      <c r="F135" s="88">
        <v>0</v>
      </c>
      <c r="G135" s="88">
        <v>0</v>
      </c>
      <c r="H135" s="88">
        <v>0</v>
      </c>
      <c r="I135" s="147">
        <f t="shared" si="67"/>
        <v>4080139.7</v>
      </c>
      <c r="J135" s="147">
        <v>0</v>
      </c>
      <c r="K135" s="147">
        <v>0</v>
      </c>
      <c r="L135" s="147">
        <v>0</v>
      </c>
      <c r="M135" s="147">
        <v>0</v>
      </c>
      <c r="N135" s="147">
        <v>0</v>
      </c>
      <c r="O135" s="147">
        <v>0</v>
      </c>
      <c r="P135" s="147">
        <v>0</v>
      </c>
      <c r="Q135" s="147">
        <v>0</v>
      </c>
      <c r="R135" s="147">
        <v>0</v>
      </c>
      <c r="S135" s="147">
        <v>0</v>
      </c>
      <c r="T135" s="147">
        <v>0</v>
      </c>
      <c r="U135" s="147">
        <v>0</v>
      </c>
      <c r="V135" s="147">
        <v>0</v>
      </c>
      <c r="W135" s="64">
        <f t="shared" si="68"/>
        <v>4080139.7</v>
      </c>
    </row>
    <row r="136" spans="1:23" x14ac:dyDescent="0.2">
      <c r="A136" s="160">
        <v>369</v>
      </c>
      <c r="B136" s="9" t="s">
        <v>147</v>
      </c>
      <c r="C136" s="8" t="s">
        <v>249</v>
      </c>
      <c r="D136" s="86">
        <v>3220647.9</v>
      </c>
      <c r="E136" s="88">
        <v>0</v>
      </c>
      <c r="F136" s="88">
        <v>0</v>
      </c>
      <c r="G136" s="88">
        <v>0</v>
      </c>
      <c r="H136" s="88">
        <v>0</v>
      </c>
      <c r="I136" s="147">
        <f t="shared" si="67"/>
        <v>3220647.9</v>
      </c>
      <c r="J136" s="147">
        <v>0</v>
      </c>
      <c r="K136" s="147">
        <v>0</v>
      </c>
      <c r="L136" s="147">
        <v>0</v>
      </c>
      <c r="M136" s="147">
        <v>0</v>
      </c>
      <c r="N136" s="147">
        <v>0</v>
      </c>
      <c r="O136" s="147">
        <v>0</v>
      </c>
      <c r="P136" s="147">
        <v>0</v>
      </c>
      <c r="Q136" s="147">
        <v>0</v>
      </c>
      <c r="R136" s="147">
        <v>0</v>
      </c>
      <c r="S136" s="147">
        <v>0</v>
      </c>
      <c r="T136" s="147">
        <v>0</v>
      </c>
      <c r="U136" s="147">
        <v>0</v>
      </c>
      <c r="V136" s="147">
        <v>0</v>
      </c>
      <c r="W136" s="64">
        <f t="shared" si="68"/>
        <v>3220647.9</v>
      </c>
    </row>
    <row r="137" spans="1:23" x14ac:dyDescent="0.2">
      <c r="A137" s="160">
        <v>370</v>
      </c>
      <c r="B137" s="9" t="s">
        <v>147</v>
      </c>
      <c r="C137" s="8" t="s">
        <v>249</v>
      </c>
      <c r="D137" s="86">
        <v>8956108.3000000007</v>
      </c>
      <c r="E137" s="88">
        <v>0</v>
      </c>
      <c r="F137" s="88">
        <v>0</v>
      </c>
      <c r="G137" s="88">
        <v>0</v>
      </c>
      <c r="H137" s="88">
        <v>0</v>
      </c>
      <c r="I137" s="147">
        <f t="shared" si="67"/>
        <v>8956108.3000000007</v>
      </c>
      <c r="J137" s="147">
        <v>0</v>
      </c>
      <c r="K137" s="147">
        <v>0</v>
      </c>
      <c r="L137" s="147">
        <v>0</v>
      </c>
      <c r="M137" s="147">
        <v>0</v>
      </c>
      <c r="N137" s="147">
        <v>0</v>
      </c>
      <c r="O137" s="147">
        <v>0</v>
      </c>
      <c r="P137" s="147">
        <v>0</v>
      </c>
      <c r="Q137" s="147">
        <v>0</v>
      </c>
      <c r="R137" s="147">
        <v>0</v>
      </c>
      <c r="S137" s="147">
        <v>0</v>
      </c>
      <c r="T137" s="147">
        <v>0</v>
      </c>
      <c r="U137" s="147">
        <v>0</v>
      </c>
      <c r="V137" s="147">
        <v>0</v>
      </c>
      <c r="W137" s="64">
        <f t="shared" si="68"/>
        <v>8956108.3000000007</v>
      </c>
    </row>
    <row r="138" spans="1:23" x14ac:dyDescent="0.2">
      <c r="A138" s="160">
        <v>371</v>
      </c>
      <c r="B138" s="9" t="s">
        <v>147</v>
      </c>
      <c r="C138" s="8" t="s">
        <v>249</v>
      </c>
      <c r="D138" s="86">
        <v>7358477.2000000002</v>
      </c>
      <c r="E138" s="88">
        <v>0</v>
      </c>
      <c r="F138" s="88">
        <v>0</v>
      </c>
      <c r="G138" s="88">
        <v>0</v>
      </c>
      <c r="H138" s="88">
        <v>0</v>
      </c>
      <c r="I138" s="147">
        <f t="shared" si="67"/>
        <v>7358477.2000000002</v>
      </c>
      <c r="J138" s="147">
        <v>0</v>
      </c>
      <c r="K138" s="147">
        <v>0</v>
      </c>
      <c r="L138" s="147">
        <v>0</v>
      </c>
      <c r="M138" s="147">
        <v>0</v>
      </c>
      <c r="N138" s="147">
        <v>0</v>
      </c>
      <c r="O138" s="147">
        <v>0</v>
      </c>
      <c r="P138" s="147">
        <v>0</v>
      </c>
      <c r="Q138" s="147">
        <v>0</v>
      </c>
      <c r="R138" s="147">
        <v>0</v>
      </c>
      <c r="S138" s="147">
        <v>0</v>
      </c>
      <c r="T138" s="147">
        <v>0</v>
      </c>
      <c r="U138" s="147">
        <v>0</v>
      </c>
      <c r="V138" s="147">
        <v>0</v>
      </c>
      <c r="W138" s="64">
        <f t="shared" si="68"/>
        <v>7358477.2000000002</v>
      </c>
    </row>
    <row r="139" spans="1:23" x14ac:dyDescent="0.2">
      <c r="A139" s="160">
        <v>373</v>
      </c>
      <c r="B139" s="9" t="s">
        <v>147</v>
      </c>
      <c r="C139" s="8" t="s">
        <v>249</v>
      </c>
      <c r="D139" s="86">
        <v>4019503.7</v>
      </c>
      <c r="E139" s="88">
        <v>0</v>
      </c>
      <c r="F139" s="88">
        <v>0</v>
      </c>
      <c r="G139" s="88">
        <v>0</v>
      </c>
      <c r="H139" s="88">
        <v>0</v>
      </c>
      <c r="I139" s="147">
        <f t="shared" si="67"/>
        <v>4019503.7</v>
      </c>
      <c r="J139" s="147">
        <v>0</v>
      </c>
      <c r="K139" s="147">
        <v>0</v>
      </c>
      <c r="L139" s="147">
        <v>0</v>
      </c>
      <c r="M139" s="147">
        <v>0</v>
      </c>
      <c r="N139" s="147">
        <v>0</v>
      </c>
      <c r="O139" s="147">
        <v>0</v>
      </c>
      <c r="P139" s="147">
        <v>0</v>
      </c>
      <c r="Q139" s="147">
        <v>0</v>
      </c>
      <c r="R139" s="147">
        <v>0</v>
      </c>
      <c r="S139" s="147">
        <v>0</v>
      </c>
      <c r="T139" s="147">
        <v>0</v>
      </c>
      <c r="U139" s="147">
        <v>0</v>
      </c>
      <c r="V139" s="147">
        <v>0</v>
      </c>
      <c r="W139" s="64">
        <f t="shared" si="68"/>
        <v>4019503.7</v>
      </c>
    </row>
    <row r="140" spans="1:23" x14ac:dyDescent="0.2">
      <c r="A140" s="160">
        <v>374</v>
      </c>
      <c r="B140" s="9" t="s">
        <v>147</v>
      </c>
      <c r="C140" s="8" t="s">
        <v>249</v>
      </c>
      <c r="D140" s="86">
        <v>3230653.9</v>
      </c>
      <c r="E140" s="88">
        <v>0</v>
      </c>
      <c r="F140" s="88">
        <v>0</v>
      </c>
      <c r="G140" s="88">
        <v>0</v>
      </c>
      <c r="H140" s="88">
        <v>0</v>
      </c>
      <c r="I140" s="147">
        <f t="shared" si="67"/>
        <v>3230653.9</v>
      </c>
      <c r="J140" s="147">
        <v>0</v>
      </c>
      <c r="K140" s="147">
        <v>0</v>
      </c>
      <c r="L140" s="147">
        <v>0</v>
      </c>
      <c r="M140" s="147">
        <v>0</v>
      </c>
      <c r="N140" s="147">
        <v>0</v>
      </c>
      <c r="O140" s="147">
        <v>0</v>
      </c>
      <c r="P140" s="147">
        <v>0</v>
      </c>
      <c r="Q140" s="147">
        <v>0</v>
      </c>
      <c r="R140" s="147">
        <v>0</v>
      </c>
      <c r="S140" s="147">
        <v>0</v>
      </c>
      <c r="T140" s="147">
        <v>0</v>
      </c>
      <c r="U140" s="147">
        <v>0</v>
      </c>
      <c r="V140" s="147">
        <v>0</v>
      </c>
      <c r="W140" s="64">
        <f t="shared" si="68"/>
        <v>3230653.9</v>
      </c>
    </row>
    <row r="141" spans="1:23" x14ac:dyDescent="0.2">
      <c r="A141" s="160">
        <v>375</v>
      </c>
      <c r="B141" s="9" t="s">
        <v>147</v>
      </c>
      <c r="C141" s="8" t="s">
        <v>249</v>
      </c>
      <c r="D141" s="86">
        <v>3193728.1</v>
      </c>
      <c r="E141" s="88">
        <v>0</v>
      </c>
      <c r="F141" s="88">
        <v>0</v>
      </c>
      <c r="G141" s="88">
        <v>0</v>
      </c>
      <c r="H141" s="88">
        <v>0</v>
      </c>
      <c r="I141" s="147">
        <f t="shared" si="67"/>
        <v>3193728.1</v>
      </c>
      <c r="J141" s="147">
        <v>0</v>
      </c>
      <c r="K141" s="147">
        <v>0</v>
      </c>
      <c r="L141" s="147">
        <v>0</v>
      </c>
      <c r="M141" s="147">
        <v>0</v>
      </c>
      <c r="N141" s="147">
        <v>0</v>
      </c>
      <c r="O141" s="147">
        <v>0</v>
      </c>
      <c r="P141" s="147">
        <v>0</v>
      </c>
      <c r="Q141" s="147">
        <v>0</v>
      </c>
      <c r="R141" s="147">
        <v>0</v>
      </c>
      <c r="S141" s="147">
        <v>0</v>
      </c>
      <c r="T141" s="147">
        <v>0</v>
      </c>
      <c r="U141" s="147">
        <v>0</v>
      </c>
      <c r="V141" s="147">
        <v>0</v>
      </c>
      <c r="W141" s="64">
        <f t="shared" si="68"/>
        <v>3193728.1</v>
      </c>
    </row>
    <row r="142" spans="1:23" x14ac:dyDescent="0.2">
      <c r="A142" s="160">
        <v>385</v>
      </c>
      <c r="B142" s="9" t="s">
        <v>147</v>
      </c>
      <c r="C142" s="8" t="s">
        <v>249</v>
      </c>
      <c r="D142" s="86">
        <v>3805855.9</v>
      </c>
      <c r="E142" s="88">
        <v>0</v>
      </c>
      <c r="F142" s="88">
        <v>0</v>
      </c>
      <c r="G142" s="88">
        <v>0</v>
      </c>
      <c r="H142" s="88">
        <v>0</v>
      </c>
      <c r="I142" s="147">
        <f t="shared" si="67"/>
        <v>3805855.9</v>
      </c>
      <c r="J142" s="147">
        <v>0</v>
      </c>
      <c r="K142" s="147">
        <v>0</v>
      </c>
      <c r="L142" s="147">
        <v>0</v>
      </c>
      <c r="M142" s="147">
        <v>0</v>
      </c>
      <c r="N142" s="147">
        <v>0</v>
      </c>
      <c r="O142" s="147">
        <v>0</v>
      </c>
      <c r="P142" s="147">
        <v>0</v>
      </c>
      <c r="Q142" s="147">
        <v>0</v>
      </c>
      <c r="R142" s="147">
        <v>0</v>
      </c>
      <c r="S142" s="147">
        <v>0</v>
      </c>
      <c r="T142" s="147">
        <v>0</v>
      </c>
      <c r="U142" s="147">
        <v>0</v>
      </c>
      <c r="V142" s="147">
        <v>0</v>
      </c>
      <c r="W142" s="64">
        <f t="shared" si="68"/>
        <v>3805855.9</v>
      </c>
    </row>
    <row r="143" spans="1:23" x14ac:dyDescent="0.2">
      <c r="A143" s="160">
        <v>386</v>
      </c>
      <c r="B143" s="9" t="s">
        <v>147</v>
      </c>
      <c r="C143" s="8" t="s">
        <v>249</v>
      </c>
      <c r="D143" s="86">
        <v>6766437.5</v>
      </c>
      <c r="E143" s="88">
        <v>0</v>
      </c>
      <c r="F143" s="88">
        <v>0</v>
      </c>
      <c r="G143" s="88">
        <v>0</v>
      </c>
      <c r="H143" s="88">
        <v>0</v>
      </c>
      <c r="I143" s="147">
        <f t="shared" si="67"/>
        <v>6766437.5</v>
      </c>
      <c r="J143" s="147">
        <v>0</v>
      </c>
      <c r="K143" s="147">
        <v>0</v>
      </c>
      <c r="L143" s="147">
        <v>0</v>
      </c>
      <c r="M143" s="147">
        <v>0</v>
      </c>
      <c r="N143" s="147">
        <v>0</v>
      </c>
      <c r="O143" s="147">
        <v>0</v>
      </c>
      <c r="P143" s="147">
        <v>0</v>
      </c>
      <c r="Q143" s="147">
        <v>0</v>
      </c>
      <c r="R143" s="147">
        <v>0</v>
      </c>
      <c r="S143" s="147">
        <v>0</v>
      </c>
      <c r="T143" s="147">
        <v>0</v>
      </c>
      <c r="U143" s="147">
        <v>0</v>
      </c>
      <c r="V143" s="147">
        <v>0</v>
      </c>
      <c r="W143" s="64">
        <f t="shared" si="68"/>
        <v>6766437.5</v>
      </c>
    </row>
    <row r="144" spans="1:23" x14ac:dyDescent="0.2">
      <c r="A144" s="160">
        <v>387</v>
      </c>
      <c r="B144" s="9" t="s">
        <v>147</v>
      </c>
      <c r="C144" s="8" t="s">
        <v>249</v>
      </c>
      <c r="D144" s="86">
        <v>4018250.3</v>
      </c>
      <c r="E144" s="88">
        <v>0</v>
      </c>
      <c r="F144" s="88">
        <v>0</v>
      </c>
      <c r="G144" s="88">
        <v>0</v>
      </c>
      <c r="H144" s="88">
        <v>0</v>
      </c>
      <c r="I144" s="147">
        <f t="shared" si="67"/>
        <v>4018250.3</v>
      </c>
      <c r="J144" s="147">
        <v>0</v>
      </c>
      <c r="K144" s="147">
        <v>0</v>
      </c>
      <c r="L144" s="147">
        <v>0</v>
      </c>
      <c r="M144" s="147">
        <v>0</v>
      </c>
      <c r="N144" s="147">
        <v>0</v>
      </c>
      <c r="O144" s="147">
        <v>0</v>
      </c>
      <c r="P144" s="147">
        <v>0</v>
      </c>
      <c r="Q144" s="147">
        <v>0</v>
      </c>
      <c r="R144" s="147">
        <v>0</v>
      </c>
      <c r="S144" s="147">
        <v>0</v>
      </c>
      <c r="T144" s="147">
        <v>0</v>
      </c>
      <c r="U144" s="147">
        <v>0</v>
      </c>
      <c r="V144" s="147">
        <v>0</v>
      </c>
      <c r="W144" s="64">
        <f t="shared" si="68"/>
        <v>4018250.3</v>
      </c>
    </row>
    <row r="145" spans="1:24" x14ac:dyDescent="0.2">
      <c r="A145" s="160">
        <v>388</v>
      </c>
      <c r="B145" s="9" t="s">
        <v>147</v>
      </c>
      <c r="C145" s="8" t="s">
        <v>249</v>
      </c>
      <c r="D145" s="86">
        <v>3613194.6</v>
      </c>
      <c r="E145" s="88">
        <v>0</v>
      </c>
      <c r="F145" s="88">
        <v>0</v>
      </c>
      <c r="G145" s="88">
        <v>0</v>
      </c>
      <c r="H145" s="88">
        <v>0</v>
      </c>
      <c r="I145" s="147">
        <f t="shared" si="67"/>
        <v>3613194.6</v>
      </c>
      <c r="J145" s="147">
        <v>0</v>
      </c>
      <c r="K145" s="147">
        <v>0</v>
      </c>
      <c r="L145" s="147">
        <v>0</v>
      </c>
      <c r="M145" s="147">
        <v>0</v>
      </c>
      <c r="N145" s="147">
        <v>0</v>
      </c>
      <c r="O145" s="147">
        <v>0</v>
      </c>
      <c r="P145" s="147">
        <v>0</v>
      </c>
      <c r="Q145" s="147">
        <v>0</v>
      </c>
      <c r="R145" s="147">
        <v>0</v>
      </c>
      <c r="S145" s="147">
        <v>0</v>
      </c>
      <c r="T145" s="147">
        <v>0</v>
      </c>
      <c r="U145" s="147">
        <v>0</v>
      </c>
      <c r="V145" s="147">
        <v>0</v>
      </c>
      <c r="W145" s="64">
        <f t="shared" si="68"/>
        <v>3613194.6</v>
      </c>
    </row>
    <row r="146" spans="1:24" x14ac:dyDescent="0.2">
      <c r="A146" s="160">
        <v>389</v>
      </c>
      <c r="B146" s="9" t="s">
        <v>147</v>
      </c>
      <c r="C146" s="8" t="s">
        <v>249</v>
      </c>
      <c r="D146" s="86">
        <v>3189595.8</v>
      </c>
      <c r="E146" s="88">
        <v>0</v>
      </c>
      <c r="F146" s="88">
        <v>0</v>
      </c>
      <c r="G146" s="88">
        <v>0</v>
      </c>
      <c r="H146" s="88">
        <v>0</v>
      </c>
      <c r="I146" s="147">
        <f t="shared" si="67"/>
        <v>3189595.8</v>
      </c>
      <c r="J146" s="147">
        <v>0</v>
      </c>
      <c r="K146" s="147">
        <v>0</v>
      </c>
      <c r="L146" s="147">
        <v>0</v>
      </c>
      <c r="M146" s="147">
        <v>0</v>
      </c>
      <c r="N146" s="147">
        <v>0</v>
      </c>
      <c r="O146" s="147">
        <v>0</v>
      </c>
      <c r="P146" s="147">
        <v>0</v>
      </c>
      <c r="Q146" s="147">
        <v>0</v>
      </c>
      <c r="R146" s="147">
        <v>0</v>
      </c>
      <c r="S146" s="147">
        <v>0</v>
      </c>
      <c r="T146" s="147">
        <v>0</v>
      </c>
      <c r="U146" s="147">
        <v>0</v>
      </c>
      <c r="V146" s="147">
        <v>0</v>
      </c>
      <c r="W146" s="64">
        <f t="shared" si="68"/>
        <v>3189595.8</v>
      </c>
    </row>
    <row r="147" spans="1:24" x14ac:dyDescent="0.2">
      <c r="A147" s="160">
        <v>400</v>
      </c>
      <c r="B147" s="9" t="s">
        <v>147</v>
      </c>
      <c r="C147" s="8" t="s">
        <v>249</v>
      </c>
      <c r="D147" s="86">
        <v>3746506.4</v>
      </c>
      <c r="E147" s="88">
        <v>0</v>
      </c>
      <c r="F147" s="88">
        <v>0</v>
      </c>
      <c r="G147" s="88">
        <v>0</v>
      </c>
      <c r="H147" s="88">
        <v>0</v>
      </c>
      <c r="I147" s="147">
        <f t="shared" si="67"/>
        <v>3746506.4</v>
      </c>
      <c r="J147" s="147">
        <v>0</v>
      </c>
      <c r="K147" s="147">
        <v>0</v>
      </c>
      <c r="L147" s="147">
        <v>0</v>
      </c>
      <c r="M147" s="147">
        <v>0</v>
      </c>
      <c r="N147" s="147">
        <v>0</v>
      </c>
      <c r="O147" s="147">
        <v>0</v>
      </c>
      <c r="P147" s="147">
        <v>0</v>
      </c>
      <c r="Q147" s="147">
        <v>0</v>
      </c>
      <c r="R147" s="147">
        <v>0</v>
      </c>
      <c r="S147" s="147">
        <v>0</v>
      </c>
      <c r="T147" s="147">
        <v>0</v>
      </c>
      <c r="U147" s="147">
        <v>0</v>
      </c>
      <c r="V147" s="147">
        <v>0</v>
      </c>
      <c r="W147" s="64">
        <f t="shared" si="68"/>
        <v>3746506.4</v>
      </c>
    </row>
    <row r="148" spans="1:24" x14ac:dyDescent="0.2">
      <c r="A148" s="160">
        <v>405</v>
      </c>
      <c r="B148" s="9" t="s">
        <v>147</v>
      </c>
      <c r="C148" s="8" t="s">
        <v>249</v>
      </c>
      <c r="D148" s="86">
        <v>3239743.6</v>
      </c>
      <c r="E148" s="88">
        <v>0</v>
      </c>
      <c r="F148" s="88">
        <v>0</v>
      </c>
      <c r="G148" s="88">
        <v>0</v>
      </c>
      <c r="H148" s="88">
        <v>0</v>
      </c>
      <c r="I148" s="147">
        <f t="shared" si="67"/>
        <v>3239743.6</v>
      </c>
      <c r="J148" s="147">
        <v>0</v>
      </c>
      <c r="K148" s="147">
        <v>0</v>
      </c>
      <c r="L148" s="147">
        <v>0</v>
      </c>
      <c r="M148" s="147">
        <v>0</v>
      </c>
      <c r="N148" s="147">
        <v>0</v>
      </c>
      <c r="O148" s="147">
        <v>0</v>
      </c>
      <c r="P148" s="147">
        <v>0</v>
      </c>
      <c r="Q148" s="147">
        <v>0</v>
      </c>
      <c r="R148" s="147">
        <v>0</v>
      </c>
      <c r="S148" s="147">
        <v>0</v>
      </c>
      <c r="T148" s="147">
        <v>0</v>
      </c>
      <c r="U148" s="147">
        <v>0</v>
      </c>
      <c r="V148" s="147">
        <v>0</v>
      </c>
      <c r="W148" s="64">
        <f t="shared" si="68"/>
        <v>3239743.6</v>
      </c>
    </row>
    <row r="149" spans="1:24" ht="12.75" customHeight="1" x14ac:dyDescent="0.2">
      <c r="A149" s="160">
        <v>409</v>
      </c>
      <c r="B149" s="9" t="s">
        <v>252</v>
      </c>
      <c r="C149" s="8" t="s">
        <v>253</v>
      </c>
      <c r="D149" s="86">
        <v>46110950.200000003</v>
      </c>
      <c r="E149" s="88">
        <v>0</v>
      </c>
      <c r="F149" s="88">
        <v>0</v>
      </c>
      <c r="G149" s="88">
        <v>0</v>
      </c>
      <c r="H149" s="88">
        <v>0</v>
      </c>
      <c r="I149" s="147">
        <f t="shared" si="67"/>
        <v>46110950.200000003</v>
      </c>
      <c r="J149" s="88">
        <v>0</v>
      </c>
      <c r="K149" s="88">
        <v>0</v>
      </c>
      <c r="L149" s="88">
        <v>0</v>
      </c>
      <c r="M149" s="88">
        <v>0</v>
      </c>
      <c r="N149" s="88">
        <v>0</v>
      </c>
      <c r="O149" s="88">
        <v>0</v>
      </c>
      <c r="P149" s="88">
        <v>0</v>
      </c>
      <c r="Q149" s="88">
        <v>0</v>
      </c>
      <c r="R149" s="88">
        <v>0</v>
      </c>
      <c r="S149" s="88">
        <v>0</v>
      </c>
      <c r="T149" s="88">
        <v>0</v>
      </c>
      <c r="U149" s="88">
        <v>0</v>
      </c>
      <c r="V149" s="88">
        <v>0</v>
      </c>
      <c r="W149" s="64">
        <f t="shared" si="68"/>
        <v>46110950.200000003</v>
      </c>
    </row>
    <row r="150" spans="1:24" ht="27" customHeight="1" x14ac:dyDescent="0.2">
      <c r="A150" s="160">
        <v>410</v>
      </c>
      <c r="B150" s="9" t="s">
        <v>254</v>
      </c>
      <c r="C150" s="8" t="s">
        <v>102</v>
      </c>
      <c r="D150" s="86">
        <v>271995556.69999999</v>
      </c>
      <c r="E150" s="88">
        <v>0</v>
      </c>
      <c r="F150" s="88">
        <v>0</v>
      </c>
      <c r="G150" s="88">
        <v>0</v>
      </c>
      <c r="H150" s="88">
        <v>0</v>
      </c>
      <c r="I150" s="147">
        <f t="shared" si="67"/>
        <v>271995556.69999999</v>
      </c>
      <c r="J150" s="88">
        <v>0</v>
      </c>
      <c r="K150" s="88">
        <v>0</v>
      </c>
      <c r="L150" s="88">
        <v>0</v>
      </c>
      <c r="M150" s="88">
        <v>0</v>
      </c>
      <c r="N150" s="88">
        <v>0</v>
      </c>
      <c r="O150" s="88">
        <v>0</v>
      </c>
      <c r="P150" s="88">
        <v>0</v>
      </c>
      <c r="Q150" s="88">
        <v>0</v>
      </c>
      <c r="R150" s="88">
        <v>0</v>
      </c>
      <c r="S150" s="88">
        <v>0</v>
      </c>
      <c r="T150" s="88">
        <v>0</v>
      </c>
      <c r="U150" s="88">
        <v>0</v>
      </c>
      <c r="V150" s="88">
        <v>0</v>
      </c>
      <c r="W150" s="64">
        <f t="shared" si="68"/>
        <v>271995556.69999999</v>
      </c>
    </row>
    <row r="151" spans="1:24" x14ac:dyDescent="0.2">
      <c r="A151" s="160">
        <v>414</v>
      </c>
      <c r="B151" s="9" t="s">
        <v>147</v>
      </c>
      <c r="C151" s="8" t="s">
        <v>249</v>
      </c>
      <c r="D151" s="86">
        <v>6547743.4000000004</v>
      </c>
      <c r="E151" s="88">
        <v>0</v>
      </c>
      <c r="F151" s="88">
        <v>0</v>
      </c>
      <c r="G151" s="88">
        <v>0</v>
      </c>
      <c r="H151" s="88">
        <v>0</v>
      </c>
      <c r="I151" s="147">
        <f t="shared" si="67"/>
        <v>6547743.4000000004</v>
      </c>
      <c r="J151" s="88">
        <v>0</v>
      </c>
      <c r="K151" s="88">
        <v>0</v>
      </c>
      <c r="L151" s="88">
        <v>0</v>
      </c>
      <c r="M151" s="88">
        <v>0</v>
      </c>
      <c r="N151" s="88">
        <v>0</v>
      </c>
      <c r="O151" s="88">
        <v>0</v>
      </c>
      <c r="P151" s="88">
        <v>0</v>
      </c>
      <c r="Q151" s="88">
        <v>0</v>
      </c>
      <c r="R151" s="88">
        <v>0</v>
      </c>
      <c r="S151" s="88">
        <v>0</v>
      </c>
      <c r="T151" s="88">
        <v>0</v>
      </c>
      <c r="U151" s="88">
        <v>0</v>
      </c>
      <c r="V151" s="88">
        <v>0</v>
      </c>
      <c r="W151" s="64">
        <f t="shared" si="68"/>
        <v>6547743.4000000004</v>
      </c>
    </row>
    <row r="152" spans="1:24" x14ac:dyDescent="0.2">
      <c r="A152" s="160">
        <v>729</v>
      </c>
      <c r="B152" s="9" t="s">
        <v>231</v>
      </c>
      <c r="C152" s="8" t="s">
        <v>107</v>
      </c>
      <c r="D152" s="86">
        <v>238235978.69</v>
      </c>
      <c r="E152" s="88">
        <v>0</v>
      </c>
      <c r="F152" s="88">
        <v>0</v>
      </c>
      <c r="G152" s="88">
        <v>0</v>
      </c>
      <c r="H152" s="88">
        <v>0</v>
      </c>
      <c r="I152" s="147">
        <f t="shared" si="67"/>
        <v>238235978.69</v>
      </c>
      <c r="J152" s="88">
        <v>0</v>
      </c>
      <c r="K152" s="88">
        <v>0</v>
      </c>
      <c r="L152" s="88">
        <v>0</v>
      </c>
      <c r="M152" s="88">
        <v>0</v>
      </c>
      <c r="N152" s="88">
        <v>0</v>
      </c>
      <c r="O152" s="88">
        <v>0</v>
      </c>
      <c r="P152" s="88">
        <v>0</v>
      </c>
      <c r="Q152" s="88">
        <v>0</v>
      </c>
      <c r="R152" s="88">
        <v>0</v>
      </c>
      <c r="S152" s="88">
        <v>0</v>
      </c>
      <c r="T152" s="88">
        <v>0</v>
      </c>
      <c r="U152" s="88">
        <v>0</v>
      </c>
      <c r="V152" s="88">
        <v>0</v>
      </c>
      <c r="W152" s="149">
        <f t="shared" si="68"/>
        <v>238235978.69</v>
      </c>
      <c r="X152" s="150"/>
    </row>
    <row r="153" spans="1:24" ht="29.25" customHeight="1" x14ac:dyDescent="0.2">
      <c r="A153" s="160">
        <v>730</v>
      </c>
      <c r="B153" s="9" t="s">
        <v>232</v>
      </c>
      <c r="C153" s="8" t="s">
        <v>102</v>
      </c>
      <c r="D153" s="86">
        <v>4994504.74</v>
      </c>
      <c r="E153" s="88">
        <v>0</v>
      </c>
      <c r="F153" s="88">
        <v>0</v>
      </c>
      <c r="G153" s="88">
        <v>0</v>
      </c>
      <c r="H153" s="88">
        <v>0</v>
      </c>
      <c r="I153" s="147">
        <f t="shared" si="67"/>
        <v>4994504.74</v>
      </c>
      <c r="J153" s="88">
        <v>0</v>
      </c>
      <c r="K153" s="88">
        <v>0</v>
      </c>
      <c r="L153" s="88">
        <v>0</v>
      </c>
      <c r="M153" s="88">
        <v>0</v>
      </c>
      <c r="N153" s="88">
        <v>0</v>
      </c>
      <c r="O153" s="88">
        <v>0</v>
      </c>
      <c r="P153" s="88">
        <v>0</v>
      </c>
      <c r="Q153" s="88">
        <v>0</v>
      </c>
      <c r="R153" s="88">
        <v>0</v>
      </c>
      <c r="S153" s="88">
        <v>0</v>
      </c>
      <c r="T153" s="88">
        <v>0</v>
      </c>
      <c r="U153" s="88">
        <v>0</v>
      </c>
      <c r="V153" s="88">
        <v>0</v>
      </c>
      <c r="W153" s="149">
        <f t="shared" si="68"/>
        <v>4994504.74</v>
      </c>
      <c r="X153" s="151"/>
    </row>
    <row r="154" spans="1:24" ht="29.25" customHeight="1" x14ac:dyDescent="0.2">
      <c r="A154" s="160">
        <v>731</v>
      </c>
      <c r="B154" s="9" t="s">
        <v>232</v>
      </c>
      <c r="C154" s="8" t="s">
        <v>102</v>
      </c>
      <c r="D154" s="86">
        <v>1714775</v>
      </c>
      <c r="E154" s="88">
        <v>0</v>
      </c>
      <c r="F154" s="88">
        <v>0</v>
      </c>
      <c r="G154" s="88">
        <v>0</v>
      </c>
      <c r="H154" s="88">
        <v>0</v>
      </c>
      <c r="I154" s="147">
        <f t="shared" si="67"/>
        <v>1714775</v>
      </c>
      <c r="J154" s="88">
        <v>0</v>
      </c>
      <c r="K154" s="88">
        <v>0</v>
      </c>
      <c r="L154" s="88">
        <v>0</v>
      </c>
      <c r="M154" s="88">
        <v>0</v>
      </c>
      <c r="N154" s="88">
        <v>0</v>
      </c>
      <c r="O154" s="88">
        <v>0</v>
      </c>
      <c r="P154" s="88">
        <v>0</v>
      </c>
      <c r="Q154" s="88">
        <v>0</v>
      </c>
      <c r="R154" s="88">
        <v>0</v>
      </c>
      <c r="S154" s="88">
        <v>0</v>
      </c>
      <c r="T154" s="88">
        <v>0</v>
      </c>
      <c r="U154" s="88">
        <v>0</v>
      </c>
      <c r="V154" s="88">
        <v>0</v>
      </c>
      <c r="W154" s="149">
        <f t="shared" si="68"/>
        <v>1714775</v>
      </c>
      <c r="X154" s="151"/>
    </row>
    <row r="155" spans="1:24" ht="29.25" customHeight="1" x14ac:dyDescent="0.2">
      <c r="A155" s="160">
        <v>732</v>
      </c>
      <c r="B155" s="9" t="s">
        <v>255</v>
      </c>
      <c r="C155" s="8" t="s">
        <v>102</v>
      </c>
      <c r="D155" s="86">
        <v>7283922.2699999996</v>
      </c>
      <c r="E155" s="88">
        <v>0</v>
      </c>
      <c r="F155" s="88">
        <v>0</v>
      </c>
      <c r="G155" s="88">
        <v>0</v>
      </c>
      <c r="H155" s="88">
        <v>0</v>
      </c>
      <c r="I155" s="147">
        <f t="shared" si="67"/>
        <v>7283922.2699999996</v>
      </c>
      <c r="J155" s="88">
        <v>0</v>
      </c>
      <c r="K155" s="88">
        <v>0</v>
      </c>
      <c r="L155" s="88">
        <v>0</v>
      </c>
      <c r="M155" s="88">
        <v>0</v>
      </c>
      <c r="N155" s="88">
        <v>0</v>
      </c>
      <c r="O155" s="88">
        <v>0</v>
      </c>
      <c r="P155" s="88">
        <v>0</v>
      </c>
      <c r="Q155" s="88">
        <v>0</v>
      </c>
      <c r="R155" s="88">
        <v>0</v>
      </c>
      <c r="S155" s="88">
        <v>0</v>
      </c>
      <c r="T155" s="88">
        <v>0</v>
      </c>
      <c r="U155" s="88">
        <v>0</v>
      </c>
      <c r="V155" s="88">
        <v>0</v>
      </c>
      <c r="W155" s="149">
        <f t="shared" si="68"/>
        <v>7283922.2699999996</v>
      </c>
      <c r="X155" s="151"/>
    </row>
    <row r="156" spans="1:24" ht="29.25" customHeight="1" x14ac:dyDescent="0.2">
      <c r="A156" s="160">
        <v>733</v>
      </c>
      <c r="B156" s="9" t="s">
        <v>256</v>
      </c>
      <c r="C156" s="8" t="s">
        <v>107</v>
      </c>
      <c r="D156" s="86">
        <v>1459852622</v>
      </c>
      <c r="E156" s="88">
        <v>0</v>
      </c>
      <c r="F156" s="88">
        <v>0</v>
      </c>
      <c r="G156" s="88">
        <v>0</v>
      </c>
      <c r="H156" s="88">
        <v>0</v>
      </c>
      <c r="I156" s="147">
        <f t="shared" si="67"/>
        <v>1459852622</v>
      </c>
      <c r="J156" s="88">
        <v>0</v>
      </c>
      <c r="K156" s="88">
        <v>0</v>
      </c>
      <c r="L156" s="88">
        <v>0</v>
      </c>
      <c r="M156" s="88">
        <v>0</v>
      </c>
      <c r="N156" s="88">
        <v>0</v>
      </c>
      <c r="O156" s="88">
        <v>0</v>
      </c>
      <c r="P156" s="88">
        <v>0</v>
      </c>
      <c r="Q156" s="88">
        <v>0</v>
      </c>
      <c r="R156" s="88">
        <v>0</v>
      </c>
      <c r="S156" s="88">
        <v>0</v>
      </c>
      <c r="T156" s="88">
        <v>0</v>
      </c>
      <c r="U156" s="88">
        <v>0</v>
      </c>
      <c r="V156" s="88">
        <v>0</v>
      </c>
      <c r="W156" s="149">
        <f t="shared" si="68"/>
        <v>1459852622</v>
      </c>
      <c r="X156" s="151"/>
    </row>
    <row r="157" spans="1:24" ht="29.25" customHeight="1" x14ac:dyDescent="0.2">
      <c r="A157" s="160">
        <v>734</v>
      </c>
      <c r="B157" s="9" t="s">
        <v>256</v>
      </c>
      <c r="C157" s="8" t="s">
        <v>107</v>
      </c>
      <c r="D157" s="86">
        <v>74555799.909999996</v>
      </c>
      <c r="E157" s="88">
        <v>0</v>
      </c>
      <c r="F157" s="88">
        <v>0</v>
      </c>
      <c r="G157" s="88">
        <v>0</v>
      </c>
      <c r="H157" s="88">
        <v>0</v>
      </c>
      <c r="I157" s="147">
        <f t="shared" si="67"/>
        <v>74555799.909999996</v>
      </c>
      <c r="J157" s="88">
        <v>0</v>
      </c>
      <c r="K157" s="88">
        <v>0</v>
      </c>
      <c r="L157" s="88">
        <v>0</v>
      </c>
      <c r="M157" s="88">
        <v>0</v>
      </c>
      <c r="N157" s="88">
        <v>0</v>
      </c>
      <c r="O157" s="88">
        <v>0</v>
      </c>
      <c r="P157" s="88">
        <v>0</v>
      </c>
      <c r="Q157" s="88">
        <v>0</v>
      </c>
      <c r="R157" s="88">
        <v>0</v>
      </c>
      <c r="S157" s="88">
        <v>0</v>
      </c>
      <c r="T157" s="88">
        <v>0</v>
      </c>
      <c r="U157" s="88">
        <v>0</v>
      </c>
      <c r="V157" s="88">
        <v>0</v>
      </c>
      <c r="W157" s="149">
        <f t="shared" si="68"/>
        <v>74555799.909999996</v>
      </c>
      <c r="X157" s="151"/>
    </row>
    <row r="158" spans="1:24" ht="29.25" customHeight="1" x14ac:dyDescent="0.2">
      <c r="A158" s="160">
        <v>735</v>
      </c>
      <c r="B158" s="9" t="s">
        <v>257</v>
      </c>
      <c r="C158" s="8" t="s">
        <v>107</v>
      </c>
      <c r="D158" s="86">
        <v>22599420.09</v>
      </c>
      <c r="E158" s="88">
        <v>0</v>
      </c>
      <c r="F158" s="88">
        <v>0</v>
      </c>
      <c r="G158" s="88">
        <v>0</v>
      </c>
      <c r="H158" s="88">
        <v>0</v>
      </c>
      <c r="I158" s="147">
        <f t="shared" si="67"/>
        <v>22599420.09</v>
      </c>
      <c r="J158" s="88">
        <v>0</v>
      </c>
      <c r="K158" s="88">
        <v>0</v>
      </c>
      <c r="L158" s="88">
        <v>0</v>
      </c>
      <c r="M158" s="88">
        <v>0</v>
      </c>
      <c r="N158" s="88">
        <v>0</v>
      </c>
      <c r="O158" s="88">
        <v>0</v>
      </c>
      <c r="P158" s="88">
        <v>0</v>
      </c>
      <c r="Q158" s="88">
        <v>0</v>
      </c>
      <c r="R158" s="88">
        <v>0</v>
      </c>
      <c r="S158" s="88">
        <v>0</v>
      </c>
      <c r="T158" s="88">
        <v>0</v>
      </c>
      <c r="U158" s="88">
        <v>0</v>
      </c>
      <c r="V158" s="88">
        <v>0</v>
      </c>
      <c r="W158" s="149">
        <f t="shared" si="68"/>
        <v>22599420.09</v>
      </c>
      <c r="X158" s="151"/>
    </row>
    <row r="159" spans="1:24" ht="29.25" customHeight="1" x14ac:dyDescent="0.2">
      <c r="A159" s="160">
        <v>736</v>
      </c>
      <c r="B159" s="9" t="s">
        <v>258</v>
      </c>
      <c r="C159" s="8" t="s">
        <v>102</v>
      </c>
      <c r="D159" s="86">
        <v>120572032</v>
      </c>
      <c r="E159" s="88">
        <v>0</v>
      </c>
      <c r="F159" s="88">
        <v>0</v>
      </c>
      <c r="G159" s="88">
        <v>0</v>
      </c>
      <c r="H159" s="88">
        <v>0</v>
      </c>
      <c r="I159" s="147">
        <f t="shared" si="67"/>
        <v>120572032</v>
      </c>
      <c r="J159" s="88">
        <v>0</v>
      </c>
      <c r="K159" s="88">
        <v>0</v>
      </c>
      <c r="L159" s="88">
        <v>0</v>
      </c>
      <c r="M159" s="88">
        <v>0</v>
      </c>
      <c r="N159" s="88">
        <v>0</v>
      </c>
      <c r="O159" s="88">
        <v>0</v>
      </c>
      <c r="P159" s="88">
        <v>0</v>
      </c>
      <c r="Q159" s="88">
        <v>0</v>
      </c>
      <c r="R159" s="88">
        <v>0</v>
      </c>
      <c r="S159" s="88">
        <v>0</v>
      </c>
      <c r="T159" s="88">
        <v>0</v>
      </c>
      <c r="U159" s="88">
        <v>0</v>
      </c>
      <c r="V159" s="88">
        <v>0</v>
      </c>
      <c r="W159" s="149">
        <f t="shared" si="68"/>
        <v>120572032</v>
      </c>
      <c r="X159" s="151"/>
    </row>
    <row r="160" spans="1:24" ht="29.25" customHeight="1" x14ac:dyDescent="0.2">
      <c r="A160" s="160">
        <v>737</v>
      </c>
      <c r="B160" s="9" t="s">
        <v>259</v>
      </c>
      <c r="C160" s="8" t="s">
        <v>102</v>
      </c>
      <c r="D160" s="86">
        <v>8738025.8499999996</v>
      </c>
      <c r="E160" s="88">
        <v>0</v>
      </c>
      <c r="F160" s="88">
        <v>0</v>
      </c>
      <c r="G160" s="88">
        <v>0</v>
      </c>
      <c r="H160" s="88">
        <v>0</v>
      </c>
      <c r="I160" s="147">
        <f t="shared" si="67"/>
        <v>8738025.8499999996</v>
      </c>
      <c r="J160" s="88">
        <v>0</v>
      </c>
      <c r="K160" s="88">
        <v>0</v>
      </c>
      <c r="L160" s="88">
        <v>0</v>
      </c>
      <c r="M160" s="88">
        <v>0</v>
      </c>
      <c r="N160" s="88">
        <v>0</v>
      </c>
      <c r="O160" s="88">
        <v>0</v>
      </c>
      <c r="P160" s="88">
        <v>0</v>
      </c>
      <c r="Q160" s="88">
        <v>0</v>
      </c>
      <c r="R160" s="88">
        <v>0</v>
      </c>
      <c r="S160" s="88">
        <v>0</v>
      </c>
      <c r="T160" s="88">
        <v>0</v>
      </c>
      <c r="U160" s="88">
        <v>0</v>
      </c>
      <c r="V160" s="88">
        <v>0</v>
      </c>
      <c r="W160" s="149">
        <f t="shared" si="68"/>
        <v>8738025.8499999996</v>
      </c>
      <c r="X160" s="151"/>
    </row>
    <row r="161" spans="1:24" ht="29.25" customHeight="1" x14ac:dyDescent="0.2">
      <c r="A161" s="160">
        <v>738</v>
      </c>
      <c r="B161" s="9" t="s">
        <v>260</v>
      </c>
      <c r="C161" s="8" t="s">
        <v>107</v>
      </c>
      <c r="D161" s="86">
        <v>60000000</v>
      </c>
      <c r="E161" s="88">
        <v>0</v>
      </c>
      <c r="F161" s="88">
        <v>0</v>
      </c>
      <c r="G161" s="88">
        <v>0</v>
      </c>
      <c r="H161" s="88">
        <v>0</v>
      </c>
      <c r="I161" s="147">
        <f t="shared" si="67"/>
        <v>60000000</v>
      </c>
      <c r="J161" s="88">
        <v>0</v>
      </c>
      <c r="K161" s="88">
        <v>0</v>
      </c>
      <c r="L161" s="88">
        <v>0</v>
      </c>
      <c r="M161" s="88">
        <v>0</v>
      </c>
      <c r="N161" s="88">
        <v>0</v>
      </c>
      <c r="O161" s="88">
        <v>0</v>
      </c>
      <c r="P161" s="88">
        <v>0</v>
      </c>
      <c r="Q161" s="88">
        <v>0</v>
      </c>
      <c r="R161" s="88">
        <v>0</v>
      </c>
      <c r="S161" s="88">
        <v>0</v>
      </c>
      <c r="T161" s="88">
        <v>0</v>
      </c>
      <c r="U161" s="88">
        <v>0</v>
      </c>
      <c r="V161" s="88">
        <v>0</v>
      </c>
      <c r="W161" s="149">
        <f t="shared" si="68"/>
        <v>60000000</v>
      </c>
      <c r="X161" s="151"/>
    </row>
    <row r="162" spans="1:24" ht="29.25" customHeight="1" x14ac:dyDescent="0.2">
      <c r="A162" s="160">
        <v>739</v>
      </c>
      <c r="B162" s="9" t="s">
        <v>261</v>
      </c>
      <c r="C162" s="8" t="s">
        <v>107</v>
      </c>
      <c r="D162" s="86">
        <v>676115692.29999995</v>
      </c>
      <c r="E162" s="88">
        <v>0</v>
      </c>
      <c r="F162" s="88">
        <v>0</v>
      </c>
      <c r="G162" s="88">
        <v>0</v>
      </c>
      <c r="H162" s="88">
        <v>0</v>
      </c>
      <c r="I162" s="147">
        <f t="shared" si="67"/>
        <v>676115692.29999995</v>
      </c>
      <c r="J162" s="88">
        <v>0</v>
      </c>
      <c r="K162" s="88">
        <v>0</v>
      </c>
      <c r="L162" s="88">
        <v>0</v>
      </c>
      <c r="M162" s="88">
        <v>0</v>
      </c>
      <c r="N162" s="88">
        <v>0</v>
      </c>
      <c r="O162" s="88">
        <v>0</v>
      </c>
      <c r="P162" s="88">
        <v>0</v>
      </c>
      <c r="Q162" s="88">
        <v>0</v>
      </c>
      <c r="R162" s="88">
        <v>0</v>
      </c>
      <c r="S162" s="88">
        <v>0</v>
      </c>
      <c r="T162" s="88">
        <v>0</v>
      </c>
      <c r="U162" s="88">
        <v>0</v>
      </c>
      <c r="V162" s="88">
        <v>0</v>
      </c>
      <c r="W162" s="149">
        <f t="shared" si="68"/>
        <v>676115692.29999995</v>
      </c>
      <c r="X162" s="151"/>
    </row>
    <row r="163" spans="1:24" ht="29.25" customHeight="1" x14ac:dyDescent="0.2">
      <c r="A163" s="160">
        <v>740</v>
      </c>
      <c r="B163" s="9" t="s">
        <v>262</v>
      </c>
      <c r="C163" s="8" t="s">
        <v>107</v>
      </c>
      <c r="D163" s="86">
        <v>945491540.29999995</v>
      </c>
      <c r="E163" s="88">
        <v>0</v>
      </c>
      <c r="F163" s="88">
        <v>0</v>
      </c>
      <c r="G163" s="88">
        <v>0</v>
      </c>
      <c r="H163" s="88">
        <v>0</v>
      </c>
      <c r="I163" s="147">
        <f t="shared" si="67"/>
        <v>945491540.29999995</v>
      </c>
      <c r="J163" s="88">
        <v>0</v>
      </c>
      <c r="K163" s="88">
        <v>0</v>
      </c>
      <c r="L163" s="88">
        <v>0</v>
      </c>
      <c r="M163" s="88">
        <v>0</v>
      </c>
      <c r="N163" s="88">
        <v>0</v>
      </c>
      <c r="O163" s="88">
        <v>0</v>
      </c>
      <c r="P163" s="88">
        <v>0</v>
      </c>
      <c r="Q163" s="88">
        <v>0</v>
      </c>
      <c r="R163" s="88">
        <v>0</v>
      </c>
      <c r="S163" s="88">
        <v>0</v>
      </c>
      <c r="T163" s="88">
        <v>0</v>
      </c>
      <c r="U163" s="88">
        <v>0</v>
      </c>
      <c r="V163" s="88">
        <v>0</v>
      </c>
      <c r="W163" s="149">
        <f t="shared" si="68"/>
        <v>945491540.29999995</v>
      </c>
      <c r="X163" s="151"/>
    </row>
    <row r="164" spans="1:24" ht="29.25" customHeight="1" x14ac:dyDescent="0.2">
      <c r="A164" s="160">
        <v>741</v>
      </c>
      <c r="B164" s="9" t="s">
        <v>263</v>
      </c>
      <c r="C164" s="8" t="s">
        <v>233</v>
      </c>
      <c r="D164" s="86">
        <v>54989270.539999999</v>
      </c>
      <c r="E164" s="88">
        <v>0</v>
      </c>
      <c r="F164" s="88">
        <v>0</v>
      </c>
      <c r="G164" s="88">
        <v>0</v>
      </c>
      <c r="H164" s="88">
        <v>0</v>
      </c>
      <c r="I164" s="147">
        <f t="shared" si="67"/>
        <v>54989270.539999999</v>
      </c>
      <c r="J164" s="88">
        <v>0</v>
      </c>
      <c r="K164" s="88">
        <v>0</v>
      </c>
      <c r="L164" s="88">
        <v>0</v>
      </c>
      <c r="M164" s="88">
        <v>0</v>
      </c>
      <c r="N164" s="88">
        <v>0</v>
      </c>
      <c r="O164" s="88">
        <v>0</v>
      </c>
      <c r="P164" s="88">
        <v>0</v>
      </c>
      <c r="Q164" s="88">
        <v>0</v>
      </c>
      <c r="R164" s="88">
        <v>0</v>
      </c>
      <c r="S164" s="88">
        <v>0</v>
      </c>
      <c r="T164" s="88">
        <v>0</v>
      </c>
      <c r="U164" s="88">
        <v>0</v>
      </c>
      <c r="V164" s="88">
        <v>0</v>
      </c>
      <c r="W164" s="149">
        <f t="shared" si="68"/>
        <v>54989270.539999999</v>
      </c>
      <c r="X164" s="151"/>
    </row>
    <row r="165" spans="1:24" ht="29.25" customHeight="1" x14ac:dyDescent="0.2">
      <c r="A165" s="161">
        <v>742</v>
      </c>
      <c r="B165" s="9" t="s">
        <v>264</v>
      </c>
      <c r="C165" s="8" t="s">
        <v>233</v>
      </c>
      <c r="D165" s="86">
        <v>82783036.859999999</v>
      </c>
      <c r="E165" s="88">
        <v>0</v>
      </c>
      <c r="F165" s="88">
        <v>0</v>
      </c>
      <c r="G165" s="88">
        <v>0</v>
      </c>
      <c r="H165" s="88">
        <v>0</v>
      </c>
      <c r="I165" s="147">
        <f t="shared" si="67"/>
        <v>82783036.859999999</v>
      </c>
      <c r="J165" s="88">
        <v>0</v>
      </c>
      <c r="K165" s="88">
        <v>0</v>
      </c>
      <c r="L165" s="88">
        <v>0</v>
      </c>
      <c r="M165" s="88">
        <v>0</v>
      </c>
      <c r="N165" s="88">
        <v>0</v>
      </c>
      <c r="O165" s="88">
        <v>0</v>
      </c>
      <c r="P165" s="88">
        <v>0</v>
      </c>
      <c r="Q165" s="88">
        <v>0</v>
      </c>
      <c r="R165" s="88">
        <v>0</v>
      </c>
      <c r="S165" s="88">
        <v>0</v>
      </c>
      <c r="T165" s="88">
        <v>0</v>
      </c>
      <c r="U165" s="88">
        <v>0</v>
      </c>
      <c r="V165" s="88">
        <v>0</v>
      </c>
      <c r="W165" s="149">
        <f t="shared" si="68"/>
        <v>82783036.859999999</v>
      </c>
      <c r="X165" s="151"/>
    </row>
    <row r="166" spans="1:24" ht="29.25" customHeight="1" x14ac:dyDescent="0.2">
      <c r="A166" s="162">
        <v>764</v>
      </c>
      <c r="B166" s="9" t="s">
        <v>265</v>
      </c>
      <c r="C166" s="8" t="s">
        <v>102</v>
      </c>
      <c r="D166" s="86">
        <v>16636487.73</v>
      </c>
      <c r="E166" s="88">
        <v>0</v>
      </c>
      <c r="F166" s="88">
        <v>0</v>
      </c>
      <c r="G166" s="88">
        <v>0</v>
      </c>
      <c r="H166" s="88">
        <v>0</v>
      </c>
      <c r="I166" s="147">
        <f t="shared" si="67"/>
        <v>16636487.73</v>
      </c>
      <c r="J166" s="88">
        <v>0</v>
      </c>
      <c r="K166" s="88">
        <v>0</v>
      </c>
      <c r="L166" s="88">
        <v>0</v>
      </c>
      <c r="M166" s="88">
        <v>0</v>
      </c>
      <c r="N166" s="88">
        <v>0</v>
      </c>
      <c r="O166" s="88">
        <v>0</v>
      </c>
      <c r="P166" s="88">
        <v>0</v>
      </c>
      <c r="Q166" s="88">
        <v>0</v>
      </c>
      <c r="R166" s="88">
        <v>0</v>
      </c>
      <c r="S166" s="88">
        <v>0</v>
      </c>
      <c r="T166" s="88">
        <v>0</v>
      </c>
      <c r="U166" s="88">
        <v>0</v>
      </c>
      <c r="V166" s="88">
        <v>0</v>
      </c>
      <c r="W166" s="149">
        <f t="shared" si="68"/>
        <v>16636487.73</v>
      </c>
      <c r="X166" s="151"/>
    </row>
    <row r="167" spans="1:24" ht="29.25" customHeight="1" x14ac:dyDescent="0.2">
      <c r="A167" s="162">
        <v>768</v>
      </c>
      <c r="B167" s="9" t="s">
        <v>266</v>
      </c>
      <c r="C167" s="8" t="s">
        <v>107</v>
      </c>
      <c r="D167" s="86">
        <v>8834182.4900000002</v>
      </c>
      <c r="E167" s="88">
        <v>0</v>
      </c>
      <c r="F167" s="88">
        <v>0</v>
      </c>
      <c r="G167" s="88">
        <v>0</v>
      </c>
      <c r="H167" s="88">
        <v>0</v>
      </c>
      <c r="I167" s="147">
        <f t="shared" si="67"/>
        <v>8834182.4900000002</v>
      </c>
      <c r="J167" s="88"/>
      <c r="K167" s="88"/>
      <c r="L167" s="88"/>
      <c r="M167" s="88"/>
      <c r="N167" s="88"/>
      <c r="O167" s="88"/>
      <c r="P167" s="88"/>
      <c r="Q167" s="88"/>
      <c r="R167" s="88"/>
      <c r="S167" s="88"/>
      <c r="T167" s="88"/>
      <c r="U167" s="88"/>
      <c r="V167" s="88"/>
      <c r="W167" s="149">
        <f t="shared" si="68"/>
        <v>8834182.4900000002</v>
      </c>
      <c r="X167" s="151"/>
    </row>
    <row r="168" spans="1:24" ht="29.25" customHeight="1" x14ac:dyDescent="0.2">
      <c r="A168" s="162">
        <v>769</v>
      </c>
      <c r="B168" s="9" t="s">
        <v>267</v>
      </c>
      <c r="C168" s="8" t="s">
        <v>107</v>
      </c>
      <c r="D168" s="86">
        <v>2065809.37</v>
      </c>
      <c r="E168" s="88">
        <v>0</v>
      </c>
      <c r="F168" s="88">
        <v>0</v>
      </c>
      <c r="G168" s="88">
        <v>0</v>
      </c>
      <c r="H168" s="88">
        <v>0</v>
      </c>
      <c r="I168" s="147">
        <f t="shared" si="67"/>
        <v>2065809.37</v>
      </c>
      <c r="J168" s="88">
        <v>0</v>
      </c>
      <c r="K168" s="88">
        <v>0</v>
      </c>
      <c r="L168" s="88">
        <v>0</v>
      </c>
      <c r="M168" s="88">
        <v>0</v>
      </c>
      <c r="N168" s="88">
        <v>0</v>
      </c>
      <c r="O168" s="88">
        <v>0</v>
      </c>
      <c r="P168" s="88">
        <v>0</v>
      </c>
      <c r="Q168" s="88">
        <v>0</v>
      </c>
      <c r="R168" s="88">
        <v>0</v>
      </c>
      <c r="S168" s="88">
        <v>0</v>
      </c>
      <c r="T168" s="88">
        <v>0</v>
      </c>
      <c r="U168" s="88">
        <v>0</v>
      </c>
      <c r="V168" s="88">
        <v>0</v>
      </c>
      <c r="W168" s="149">
        <f t="shared" si="68"/>
        <v>2065809.37</v>
      </c>
      <c r="X168" s="151"/>
    </row>
    <row r="169" spans="1:24" ht="29.25" customHeight="1" x14ac:dyDescent="0.2">
      <c r="A169" s="162">
        <v>770</v>
      </c>
      <c r="B169" s="9" t="s">
        <v>268</v>
      </c>
      <c r="C169" s="8" t="s">
        <v>107</v>
      </c>
      <c r="D169" s="86">
        <v>126240281.59999999</v>
      </c>
      <c r="E169" s="88">
        <v>0</v>
      </c>
      <c r="F169" s="88">
        <v>0</v>
      </c>
      <c r="G169" s="88">
        <v>0</v>
      </c>
      <c r="H169" s="88">
        <v>0</v>
      </c>
      <c r="I169" s="147">
        <f t="shared" si="67"/>
        <v>126240281.59999999</v>
      </c>
      <c r="J169" s="88">
        <v>0</v>
      </c>
      <c r="K169" s="88">
        <v>0</v>
      </c>
      <c r="L169" s="88">
        <v>0</v>
      </c>
      <c r="M169" s="88">
        <v>0</v>
      </c>
      <c r="N169" s="88">
        <v>0</v>
      </c>
      <c r="O169" s="88">
        <v>0</v>
      </c>
      <c r="P169" s="88">
        <v>0</v>
      </c>
      <c r="Q169" s="88">
        <v>0</v>
      </c>
      <c r="R169" s="88">
        <v>0</v>
      </c>
      <c r="S169" s="88">
        <v>0</v>
      </c>
      <c r="T169" s="88">
        <v>0</v>
      </c>
      <c r="U169" s="88">
        <v>0</v>
      </c>
      <c r="V169" s="88">
        <v>0</v>
      </c>
      <c r="W169" s="149">
        <f t="shared" si="68"/>
        <v>126240281.59999999</v>
      </c>
      <c r="X169" s="151"/>
    </row>
    <row r="170" spans="1:24" ht="29.25" customHeight="1" x14ac:dyDescent="0.2">
      <c r="A170" s="162">
        <v>771</v>
      </c>
      <c r="B170" s="9" t="s">
        <v>269</v>
      </c>
      <c r="C170" s="8" t="s">
        <v>102</v>
      </c>
      <c r="D170" s="86">
        <v>18673374.789999999</v>
      </c>
      <c r="E170" s="88">
        <v>0</v>
      </c>
      <c r="F170" s="88">
        <v>0</v>
      </c>
      <c r="G170" s="88">
        <v>0</v>
      </c>
      <c r="H170" s="88">
        <v>0</v>
      </c>
      <c r="I170" s="147">
        <f t="shared" si="67"/>
        <v>18673374.789999999</v>
      </c>
      <c r="J170" s="88">
        <v>0</v>
      </c>
      <c r="K170" s="88">
        <v>0</v>
      </c>
      <c r="L170" s="88">
        <v>0</v>
      </c>
      <c r="M170" s="88">
        <v>0</v>
      </c>
      <c r="N170" s="88">
        <v>0</v>
      </c>
      <c r="O170" s="88">
        <v>0</v>
      </c>
      <c r="P170" s="88">
        <v>0</v>
      </c>
      <c r="Q170" s="88">
        <v>0</v>
      </c>
      <c r="R170" s="88">
        <v>0</v>
      </c>
      <c r="S170" s="88">
        <v>0</v>
      </c>
      <c r="T170" s="88">
        <v>0</v>
      </c>
      <c r="U170" s="88">
        <v>0</v>
      </c>
      <c r="V170" s="88">
        <v>0</v>
      </c>
      <c r="W170" s="149">
        <f t="shared" si="68"/>
        <v>18673374.789999999</v>
      </c>
      <c r="X170" s="151"/>
    </row>
    <row r="171" spans="1:24" ht="29.25" customHeight="1" x14ac:dyDescent="0.2">
      <c r="A171" s="162">
        <v>772</v>
      </c>
      <c r="B171" s="9" t="s">
        <v>270</v>
      </c>
      <c r="C171" s="8" t="s">
        <v>107</v>
      </c>
      <c r="D171" s="86">
        <v>94290843.200000003</v>
      </c>
      <c r="E171" s="88">
        <v>0</v>
      </c>
      <c r="F171" s="88">
        <v>0</v>
      </c>
      <c r="G171" s="88">
        <v>0</v>
      </c>
      <c r="H171" s="88">
        <v>0</v>
      </c>
      <c r="I171" s="147">
        <f t="shared" si="67"/>
        <v>94290843.200000003</v>
      </c>
      <c r="J171" s="88">
        <v>0</v>
      </c>
      <c r="K171" s="88">
        <v>0</v>
      </c>
      <c r="L171" s="88">
        <v>0</v>
      </c>
      <c r="M171" s="88">
        <v>0</v>
      </c>
      <c r="N171" s="88">
        <v>0</v>
      </c>
      <c r="O171" s="88">
        <v>0</v>
      </c>
      <c r="P171" s="88">
        <v>0</v>
      </c>
      <c r="Q171" s="88">
        <v>0</v>
      </c>
      <c r="R171" s="88">
        <v>0</v>
      </c>
      <c r="S171" s="88">
        <v>0</v>
      </c>
      <c r="T171" s="88">
        <v>0</v>
      </c>
      <c r="U171" s="88">
        <v>0</v>
      </c>
      <c r="V171" s="88">
        <v>0</v>
      </c>
      <c r="W171" s="149">
        <f t="shared" si="68"/>
        <v>94290843.200000003</v>
      </c>
      <c r="X171" s="151"/>
    </row>
    <row r="172" spans="1:24" ht="29.25" customHeight="1" x14ac:dyDescent="0.2">
      <c r="A172" s="162">
        <v>773</v>
      </c>
      <c r="B172" s="9" t="s">
        <v>271</v>
      </c>
      <c r="C172" s="8" t="s">
        <v>102</v>
      </c>
      <c r="D172" s="86">
        <v>31535586.100000001</v>
      </c>
      <c r="E172" s="88">
        <v>0</v>
      </c>
      <c r="F172" s="88">
        <v>0</v>
      </c>
      <c r="G172" s="88">
        <v>0</v>
      </c>
      <c r="H172" s="88">
        <v>0</v>
      </c>
      <c r="I172" s="147">
        <f t="shared" si="67"/>
        <v>31535586.100000001</v>
      </c>
      <c r="J172" s="88">
        <v>0</v>
      </c>
      <c r="K172" s="88">
        <v>0</v>
      </c>
      <c r="L172" s="88">
        <v>0</v>
      </c>
      <c r="M172" s="88">
        <v>0</v>
      </c>
      <c r="N172" s="88">
        <v>0</v>
      </c>
      <c r="O172" s="88">
        <v>0</v>
      </c>
      <c r="P172" s="88">
        <v>0</v>
      </c>
      <c r="Q172" s="88">
        <v>0</v>
      </c>
      <c r="R172" s="88">
        <v>0</v>
      </c>
      <c r="S172" s="88">
        <v>0</v>
      </c>
      <c r="T172" s="88">
        <v>0</v>
      </c>
      <c r="U172" s="88">
        <v>0</v>
      </c>
      <c r="V172" s="88">
        <v>0</v>
      </c>
      <c r="W172" s="149">
        <f t="shared" si="68"/>
        <v>31535586.100000001</v>
      </c>
      <c r="X172" s="151"/>
    </row>
    <row r="173" spans="1:24" ht="29.25" customHeight="1" x14ac:dyDescent="0.2">
      <c r="A173" s="162">
        <v>774</v>
      </c>
      <c r="B173" s="9" t="s">
        <v>272</v>
      </c>
      <c r="C173" s="8" t="s">
        <v>102</v>
      </c>
      <c r="D173" s="86">
        <v>31874676.870000001</v>
      </c>
      <c r="E173" s="88">
        <v>0</v>
      </c>
      <c r="F173" s="88">
        <v>0</v>
      </c>
      <c r="G173" s="88">
        <v>0</v>
      </c>
      <c r="H173" s="88">
        <v>0</v>
      </c>
      <c r="I173" s="147">
        <f t="shared" si="67"/>
        <v>31874676.870000001</v>
      </c>
      <c r="J173" s="88">
        <v>0</v>
      </c>
      <c r="K173" s="88">
        <v>0</v>
      </c>
      <c r="L173" s="88">
        <v>0</v>
      </c>
      <c r="M173" s="88">
        <v>0</v>
      </c>
      <c r="N173" s="88">
        <v>0</v>
      </c>
      <c r="O173" s="88">
        <v>0</v>
      </c>
      <c r="P173" s="88">
        <v>0</v>
      </c>
      <c r="Q173" s="88">
        <v>0</v>
      </c>
      <c r="R173" s="88">
        <v>0</v>
      </c>
      <c r="S173" s="88">
        <v>0</v>
      </c>
      <c r="T173" s="88">
        <v>0</v>
      </c>
      <c r="U173" s="88">
        <v>0</v>
      </c>
      <c r="V173" s="88">
        <v>0</v>
      </c>
      <c r="W173" s="149">
        <f t="shared" si="68"/>
        <v>31874676.870000001</v>
      </c>
      <c r="X173" s="151"/>
    </row>
    <row r="174" spans="1:24" ht="29.25" customHeight="1" x14ac:dyDescent="0.2">
      <c r="A174" s="162">
        <v>783</v>
      </c>
      <c r="B174" s="9" t="s">
        <v>273</v>
      </c>
      <c r="C174" s="8" t="s">
        <v>107</v>
      </c>
      <c r="D174" s="86">
        <v>75021845.370000005</v>
      </c>
      <c r="E174" s="88">
        <v>0</v>
      </c>
      <c r="F174" s="88">
        <v>0</v>
      </c>
      <c r="G174" s="88">
        <v>0</v>
      </c>
      <c r="H174" s="88">
        <v>0</v>
      </c>
      <c r="I174" s="147">
        <f t="shared" si="67"/>
        <v>75021845.370000005</v>
      </c>
      <c r="J174" s="88">
        <v>0</v>
      </c>
      <c r="K174" s="88">
        <v>0</v>
      </c>
      <c r="L174" s="88">
        <v>0</v>
      </c>
      <c r="M174" s="88">
        <v>0</v>
      </c>
      <c r="N174" s="88">
        <v>0</v>
      </c>
      <c r="O174" s="88">
        <v>0</v>
      </c>
      <c r="P174" s="88">
        <v>0</v>
      </c>
      <c r="Q174" s="88">
        <v>0</v>
      </c>
      <c r="R174" s="88">
        <v>0</v>
      </c>
      <c r="S174" s="88">
        <v>0</v>
      </c>
      <c r="T174" s="88">
        <v>0</v>
      </c>
      <c r="U174" s="88">
        <v>0</v>
      </c>
      <c r="V174" s="88">
        <v>0</v>
      </c>
      <c r="W174" s="149">
        <f t="shared" si="68"/>
        <v>75021845.370000005</v>
      </c>
      <c r="X174" s="151"/>
    </row>
    <row r="175" spans="1:24" ht="29.25" customHeight="1" x14ac:dyDescent="0.2">
      <c r="A175" s="162">
        <v>796</v>
      </c>
      <c r="B175" s="9" t="s">
        <v>274</v>
      </c>
      <c r="C175" s="8" t="s">
        <v>107</v>
      </c>
      <c r="D175" s="86">
        <v>220458.25</v>
      </c>
      <c r="E175" s="88">
        <v>0</v>
      </c>
      <c r="F175" s="88">
        <v>0</v>
      </c>
      <c r="G175" s="88">
        <v>0</v>
      </c>
      <c r="H175" s="88">
        <v>0</v>
      </c>
      <c r="I175" s="147">
        <f t="shared" si="67"/>
        <v>220458.25</v>
      </c>
      <c r="J175" s="88">
        <v>0</v>
      </c>
      <c r="K175" s="88">
        <v>0</v>
      </c>
      <c r="L175" s="88">
        <v>0</v>
      </c>
      <c r="M175" s="88">
        <v>0</v>
      </c>
      <c r="N175" s="88">
        <v>0</v>
      </c>
      <c r="O175" s="88">
        <v>0</v>
      </c>
      <c r="P175" s="88">
        <v>0</v>
      </c>
      <c r="Q175" s="88">
        <v>0</v>
      </c>
      <c r="R175" s="88">
        <v>0</v>
      </c>
      <c r="S175" s="88">
        <v>0</v>
      </c>
      <c r="T175" s="88">
        <v>0</v>
      </c>
      <c r="U175" s="88">
        <v>0</v>
      </c>
      <c r="V175" s="88">
        <v>0</v>
      </c>
      <c r="W175" s="149">
        <f t="shared" si="68"/>
        <v>220458.25</v>
      </c>
      <c r="X175" s="151"/>
    </row>
    <row r="176" spans="1:24" ht="29.25" customHeight="1" x14ac:dyDescent="0.2">
      <c r="A176" s="162">
        <v>798</v>
      </c>
      <c r="B176" s="9" t="s">
        <v>275</v>
      </c>
      <c r="C176" s="8" t="s">
        <v>107</v>
      </c>
      <c r="D176" s="86">
        <v>24312859.5</v>
      </c>
      <c r="E176" s="88">
        <v>0</v>
      </c>
      <c r="F176" s="88">
        <v>0</v>
      </c>
      <c r="G176" s="88">
        <v>0</v>
      </c>
      <c r="H176" s="88">
        <v>0</v>
      </c>
      <c r="I176" s="147">
        <f t="shared" si="67"/>
        <v>24312859.5</v>
      </c>
      <c r="J176" s="88">
        <v>0</v>
      </c>
      <c r="K176" s="88">
        <v>0</v>
      </c>
      <c r="L176" s="88">
        <v>0</v>
      </c>
      <c r="M176" s="88">
        <v>0</v>
      </c>
      <c r="N176" s="88">
        <v>0</v>
      </c>
      <c r="O176" s="88">
        <v>0</v>
      </c>
      <c r="P176" s="88">
        <v>0</v>
      </c>
      <c r="Q176" s="88">
        <v>0</v>
      </c>
      <c r="R176" s="88">
        <v>0</v>
      </c>
      <c r="S176" s="88">
        <v>0</v>
      </c>
      <c r="T176" s="88">
        <v>0</v>
      </c>
      <c r="U176" s="88">
        <v>0</v>
      </c>
      <c r="V176" s="88">
        <v>0</v>
      </c>
      <c r="W176" s="149">
        <f t="shared" si="68"/>
        <v>24312859.5</v>
      </c>
      <c r="X176" s="151"/>
    </row>
    <row r="177" spans="1:24" ht="29.25" customHeight="1" x14ac:dyDescent="0.2">
      <c r="A177" s="160">
        <v>807</v>
      </c>
      <c r="B177" s="9" t="s">
        <v>276</v>
      </c>
      <c r="C177" s="8" t="s">
        <v>107</v>
      </c>
      <c r="D177" s="86">
        <v>2658412.25</v>
      </c>
      <c r="E177" s="88">
        <v>0</v>
      </c>
      <c r="F177" s="88">
        <v>0</v>
      </c>
      <c r="G177" s="88">
        <v>0</v>
      </c>
      <c r="H177" s="88">
        <v>0</v>
      </c>
      <c r="I177" s="147">
        <f t="shared" si="67"/>
        <v>2658412.25</v>
      </c>
      <c r="J177" s="88">
        <v>0</v>
      </c>
      <c r="K177" s="88">
        <v>0</v>
      </c>
      <c r="L177" s="88">
        <v>0</v>
      </c>
      <c r="M177" s="88">
        <v>0</v>
      </c>
      <c r="N177" s="88">
        <v>0</v>
      </c>
      <c r="O177" s="88">
        <v>0</v>
      </c>
      <c r="P177" s="88">
        <v>0</v>
      </c>
      <c r="Q177" s="88">
        <v>0</v>
      </c>
      <c r="R177" s="88">
        <v>0</v>
      </c>
      <c r="S177" s="88">
        <v>0</v>
      </c>
      <c r="T177" s="88">
        <v>0</v>
      </c>
      <c r="U177" s="88">
        <v>0</v>
      </c>
      <c r="V177" s="88">
        <v>0</v>
      </c>
      <c r="W177" s="149">
        <f t="shared" si="68"/>
        <v>2658412.25</v>
      </c>
      <c r="X177" s="151"/>
    </row>
    <row r="178" spans="1:24" ht="29.25" customHeight="1" x14ac:dyDescent="0.2">
      <c r="A178" s="160">
        <v>825</v>
      </c>
      <c r="B178" s="9" t="s">
        <v>145</v>
      </c>
      <c r="C178" s="8" t="s">
        <v>102</v>
      </c>
      <c r="D178" s="86">
        <v>23790000</v>
      </c>
      <c r="E178" s="88">
        <v>0</v>
      </c>
      <c r="F178" s="88">
        <v>0</v>
      </c>
      <c r="G178" s="88">
        <v>0</v>
      </c>
      <c r="H178" s="88">
        <v>0</v>
      </c>
      <c r="I178" s="147">
        <f t="shared" si="67"/>
        <v>23790000</v>
      </c>
      <c r="J178" s="147"/>
      <c r="K178" s="147"/>
      <c r="L178" s="147"/>
      <c r="M178" s="147"/>
      <c r="N178" s="147"/>
      <c r="O178" s="147"/>
      <c r="P178" s="147"/>
      <c r="Q178" s="147"/>
      <c r="R178" s="147"/>
      <c r="S178" s="147"/>
      <c r="T178" s="147"/>
      <c r="U178" s="147"/>
      <c r="V178" s="147"/>
      <c r="W178" s="149">
        <f t="shared" si="68"/>
        <v>23790000</v>
      </c>
      <c r="X178" s="151"/>
    </row>
    <row r="179" spans="1:24" ht="29.25" customHeight="1" x14ac:dyDescent="0.2">
      <c r="A179" s="160">
        <v>922</v>
      </c>
      <c r="B179" s="9" t="s">
        <v>140</v>
      </c>
      <c r="C179" s="8" t="s">
        <v>233</v>
      </c>
      <c r="D179" s="86">
        <v>4849661</v>
      </c>
      <c r="E179" s="88">
        <v>0</v>
      </c>
      <c r="F179" s="88">
        <v>0</v>
      </c>
      <c r="G179" s="88">
        <v>0</v>
      </c>
      <c r="H179" s="88">
        <v>0</v>
      </c>
      <c r="I179" s="147">
        <f t="shared" si="67"/>
        <v>4849661</v>
      </c>
      <c r="J179" s="147"/>
      <c r="K179" s="147"/>
      <c r="L179" s="147"/>
      <c r="M179" s="147"/>
      <c r="N179" s="147"/>
      <c r="O179" s="147"/>
      <c r="P179" s="147"/>
      <c r="Q179" s="147"/>
      <c r="R179" s="147"/>
      <c r="S179" s="147"/>
      <c r="T179" s="147"/>
      <c r="U179" s="147"/>
      <c r="V179" s="147"/>
      <c r="W179" s="149">
        <f t="shared" si="68"/>
        <v>4849661</v>
      </c>
      <c r="X179" s="151"/>
    </row>
    <row r="180" spans="1:24" ht="29.25" customHeight="1" x14ac:dyDescent="0.2">
      <c r="A180" s="160">
        <v>1046</v>
      </c>
      <c r="B180" s="9" t="s">
        <v>147</v>
      </c>
      <c r="C180" s="8" t="s">
        <v>249</v>
      </c>
      <c r="D180" s="86">
        <v>41088455.5</v>
      </c>
      <c r="E180" s="88">
        <v>0</v>
      </c>
      <c r="F180" s="88">
        <v>0</v>
      </c>
      <c r="G180" s="88">
        <v>0</v>
      </c>
      <c r="H180" s="88">
        <v>0</v>
      </c>
      <c r="I180" s="147">
        <f t="shared" si="67"/>
        <v>41088455.5</v>
      </c>
      <c r="J180" s="88">
        <v>0</v>
      </c>
      <c r="K180" s="88">
        <v>0</v>
      </c>
      <c r="L180" s="88">
        <v>0</v>
      </c>
      <c r="M180" s="88">
        <v>0</v>
      </c>
      <c r="N180" s="88">
        <v>0</v>
      </c>
      <c r="O180" s="88">
        <v>0</v>
      </c>
      <c r="P180" s="88">
        <v>0</v>
      </c>
      <c r="Q180" s="88">
        <v>0</v>
      </c>
      <c r="R180" s="88">
        <v>0</v>
      </c>
      <c r="S180" s="88">
        <v>0</v>
      </c>
      <c r="T180" s="88">
        <v>0</v>
      </c>
      <c r="U180" s="88">
        <v>0</v>
      </c>
      <c r="V180" s="88">
        <v>0</v>
      </c>
      <c r="W180" s="149">
        <f t="shared" si="68"/>
        <v>41088455.5</v>
      </c>
      <c r="X180" s="151"/>
    </row>
    <row r="181" spans="1:24" ht="29.25" customHeight="1" x14ac:dyDescent="0.2">
      <c r="A181" s="160">
        <v>1047</v>
      </c>
      <c r="B181" s="9" t="s">
        <v>147</v>
      </c>
      <c r="C181" s="8" t="s">
        <v>249</v>
      </c>
      <c r="D181" s="86">
        <v>2994699.9</v>
      </c>
      <c r="E181" s="88">
        <v>0</v>
      </c>
      <c r="F181" s="88">
        <v>0</v>
      </c>
      <c r="G181" s="88">
        <v>0</v>
      </c>
      <c r="H181" s="88">
        <v>0</v>
      </c>
      <c r="I181" s="147">
        <f t="shared" si="67"/>
        <v>2994699.9</v>
      </c>
      <c r="J181" s="88">
        <v>0</v>
      </c>
      <c r="K181" s="88">
        <v>0</v>
      </c>
      <c r="L181" s="88">
        <v>0</v>
      </c>
      <c r="M181" s="88">
        <v>0</v>
      </c>
      <c r="N181" s="88">
        <v>0</v>
      </c>
      <c r="O181" s="88">
        <v>0</v>
      </c>
      <c r="P181" s="88">
        <v>0</v>
      </c>
      <c r="Q181" s="88">
        <v>0</v>
      </c>
      <c r="R181" s="88">
        <v>0</v>
      </c>
      <c r="S181" s="88">
        <v>0</v>
      </c>
      <c r="T181" s="88">
        <v>0</v>
      </c>
      <c r="U181" s="88">
        <v>0</v>
      </c>
      <c r="V181" s="88">
        <v>0</v>
      </c>
      <c r="W181" s="149">
        <f t="shared" si="68"/>
        <v>2994699.9</v>
      </c>
      <c r="X181" s="151"/>
    </row>
    <row r="182" spans="1:24" ht="29.25" customHeight="1" x14ac:dyDescent="0.2">
      <c r="A182" s="160">
        <v>1048</v>
      </c>
      <c r="B182" s="9" t="s">
        <v>147</v>
      </c>
      <c r="C182" s="8" t="s">
        <v>249</v>
      </c>
      <c r="D182" s="86">
        <v>3956571.3</v>
      </c>
      <c r="E182" s="88">
        <v>0</v>
      </c>
      <c r="F182" s="88">
        <v>0</v>
      </c>
      <c r="G182" s="88">
        <v>0</v>
      </c>
      <c r="H182" s="88">
        <v>0</v>
      </c>
      <c r="I182" s="147">
        <f t="shared" si="67"/>
        <v>3956571.3</v>
      </c>
      <c r="J182" s="88">
        <v>0</v>
      </c>
      <c r="K182" s="88">
        <v>0</v>
      </c>
      <c r="L182" s="88">
        <v>0</v>
      </c>
      <c r="M182" s="88">
        <v>0</v>
      </c>
      <c r="N182" s="88">
        <v>0</v>
      </c>
      <c r="O182" s="88">
        <v>0</v>
      </c>
      <c r="P182" s="88">
        <v>0</v>
      </c>
      <c r="Q182" s="88">
        <v>0</v>
      </c>
      <c r="R182" s="88">
        <v>0</v>
      </c>
      <c r="S182" s="88">
        <v>0</v>
      </c>
      <c r="T182" s="88">
        <v>0</v>
      </c>
      <c r="U182" s="88">
        <v>0</v>
      </c>
      <c r="V182" s="88">
        <v>0</v>
      </c>
      <c r="W182" s="149">
        <f t="shared" si="68"/>
        <v>3956571.3</v>
      </c>
      <c r="X182" s="151"/>
    </row>
    <row r="183" spans="1:24" x14ac:dyDescent="0.2">
      <c r="A183" s="160">
        <v>1049</v>
      </c>
      <c r="B183" s="9" t="s">
        <v>147</v>
      </c>
      <c r="C183" s="8" t="s">
        <v>249</v>
      </c>
      <c r="D183" s="86">
        <v>2970732.2</v>
      </c>
      <c r="E183" s="88">
        <v>0</v>
      </c>
      <c r="F183" s="88">
        <v>0</v>
      </c>
      <c r="G183" s="88">
        <v>0</v>
      </c>
      <c r="H183" s="88">
        <v>0</v>
      </c>
      <c r="I183" s="147">
        <f t="shared" si="67"/>
        <v>2970732.2</v>
      </c>
      <c r="J183" s="88">
        <v>0</v>
      </c>
      <c r="K183" s="88">
        <v>0</v>
      </c>
      <c r="L183" s="88">
        <v>0</v>
      </c>
      <c r="M183" s="88">
        <v>0</v>
      </c>
      <c r="N183" s="88">
        <v>0</v>
      </c>
      <c r="O183" s="88">
        <v>0</v>
      </c>
      <c r="P183" s="88">
        <v>0</v>
      </c>
      <c r="Q183" s="88">
        <v>0</v>
      </c>
      <c r="R183" s="88">
        <v>0</v>
      </c>
      <c r="S183" s="88">
        <v>0</v>
      </c>
      <c r="T183" s="88">
        <v>0</v>
      </c>
      <c r="U183" s="88">
        <v>0</v>
      </c>
      <c r="V183" s="88">
        <v>0</v>
      </c>
      <c r="W183" s="149">
        <f t="shared" si="68"/>
        <v>2970732.2</v>
      </c>
    </row>
    <row r="184" spans="1:24" x14ac:dyDescent="0.2">
      <c r="A184" s="160">
        <v>1050</v>
      </c>
      <c r="B184" s="9" t="s">
        <v>147</v>
      </c>
      <c r="C184" s="8" t="s">
        <v>249</v>
      </c>
      <c r="D184" s="86">
        <v>3965988.3</v>
      </c>
      <c r="E184" s="88">
        <v>0</v>
      </c>
      <c r="F184" s="88">
        <v>0</v>
      </c>
      <c r="G184" s="88">
        <v>0</v>
      </c>
      <c r="H184" s="88">
        <v>0</v>
      </c>
      <c r="I184" s="147">
        <f t="shared" si="67"/>
        <v>3965988.3</v>
      </c>
      <c r="J184" s="88">
        <v>0</v>
      </c>
      <c r="K184" s="88">
        <v>0</v>
      </c>
      <c r="L184" s="88">
        <v>0</v>
      </c>
      <c r="M184" s="88">
        <v>0</v>
      </c>
      <c r="N184" s="88">
        <v>0</v>
      </c>
      <c r="O184" s="88">
        <v>0</v>
      </c>
      <c r="P184" s="88">
        <v>0</v>
      </c>
      <c r="Q184" s="88">
        <v>0</v>
      </c>
      <c r="R184" s="88">
        <v>0</v>
      </c>
      <c r="S184" s="88">
        <v>0</v>
      </c>
      <c r="T184" s="88">
        <v>0</v>
      </c>
      <c r="U184" s="88">
        <v>0</v>
      </c>
      <c r="V184" s="88">
        <v>0</v>
      </c>
      <c r="W184" s="149">
        <f t="shared" si="68"/>
        <v>3965988.3</v>
      </c>
    </row>
    <row r="185" spans="1:24" x14ac:dyDescent="0.2">
      <c r="A185" s="160">
        <v>1052</v>
      </c>
      <c r="B185" s="9" t="s">
        <v>147</v>
      </c>
      <c r="C185" s="8" t="s">
        <v>249</v>
      </c>
      <c r="D185" s="86">
        <v>2989052.1</v>
      </c>
      <c r="E185" s="88">
        <v>0</v>
      </c>
      <c r="F185" s="88">
        <v>0</v>
      </c>
      <c r="G185" s="88">
        <v>0</v>
      </c>
      <c r="H185" s="88">
        <v>0</v>
      </c>
      <c r="I185" s="147">
        <f t="shared" si="67"/>
        <v>2989052.1</v>
      </c>
      <c r="J185" s="88">
        <v>0</v>
      </c>
      <c r="K185" s="88">
        <v>0</v>
      </c>
      <c r="L185" s="88">
        <v>0</v>
      </c>
      <c r="M185" s="88">
        <v>0</v>
      </c>
      <c r="N185" s="88">
        <v>0</v>
      </c>
      <c r="O185" s="88">
        <v>0</v>
      </c>
      <c r="P185" s="88">
        <v>0</v>
      </c>
      <c r="Q185" s="88">
        <v>0</v>
      </c>
      <c r="R185" s="88">
        <v>0</v>
      </c>
      <c r="S185" s="88">
        <v>0</v>
      </c>
      <c r="T185" s="88">
        <v>0</v>
      </c>
      <c r="U185" s="88">
        <v>0</v>
      </c>
      <c r="V185" s="88">
        <v>0</v>
      </c>
      <c r="W185" s="149">
        <f t="shared" si="68"/>
        <v>2989052.1</v>
      </c>
    </row>
    <row r="186" spans="1:24" x14ac:dyDescent="0.2">
      <c r="A186" s="160">
        <v>1054</v>
      </c>
      <c r="B186" s="9" t="s">
        <v>147</v>
      </c>
      <c r="C186" s="8" t="s">
        <v>249</v>
      </c>
      <c r="D186" s="86">
        <v>2993074.2</v>
      </c>
      <c r="E186" s="88">
        <v>0</v>
      </c>
      <c r="F186" s="88">
        <v>0</v>
      </c>
      <c r="G186" s="88">
        <v>0</v>
      </c>
      <c r="H186" s="88">
        <v>0</v>
      </c>
      <c r="I186" s="147">
        <f t="shared" si="67"/>
        <v>2993074.2</v>
      </c>
      <c r="J186" s="88">
        <v>0</v>
      </c>
      <c r="K186" s="88">
        <v>0</v>
      </c>
      <c r="L186" s="88">
        <v>0</v>
      </c>
      <c r="M186" s="88">
        <v>0</v>
      </c>
      <c r="N186" s="88">
        <v>0</v>
      </c>
      <c r="O186" s="88">
        <v>0</v>
      </c>
      <c r="P186" s="88">
        <v>0</v>
      </c>
      <c r="Q186" s="88">
        <v>0</v>
      </c>
      <c r="R186" s="88">
        <v>0</v>
      </c>
      <c r="S186" s="88">
        <v>0</v>
      </c>
      <c r="T186" s="88">
        <v>0</v>
      </c>
      <c r="U186" s="88">
        <v>0</v>
      </c>
      <c r="V186" s="88">
        <v>0</v>
      </c>
      <c r="W186" s="149">
        <f t="shared" si="68"/>
        <v>2993074.2</v>
      </c>
    </row>
    <row r="187" spans="1:24" x14ac:dyDescent="0.2">
      <c r="A187" s="160">
        <v>1055</v>
      </c>
      <c r="B187" s="9" t="s">
        <v>147</v>
      </c>
      <c r="C187" s="8" t="s">
        <v>249</v>
      </c>
      <c r="D187" s="86">
        <v>2996698.9</v>
      </c>
      <c r="E187" s="88">
        <v>0</v>
      </c>
      <c r="F187" s="88">
        <v>0</v>
      </c>
      <c r="G187" s="88">
        <v>0</v>
      </c>
      <c r="H187" s="88">
        <v>0</v>
      </c>
      <c r="I187" s="147">
        <f t="shared" si="67"/>
        <v>2996698.9</v>
      </c>
      <c r="J187" s="88">
        <v>0</v>
      </c>
      <c r="K187" s="88">
        <v>0</v>
      </c>
      <c r="L187" s="88">
        <v>0</v>
      </c>
      <c r="M187" s="88">
        <v>0</v>
      </c>
      <c r="N187" s="88">
        <v>0</v>
      </c>
      <c r="O187" s="88">
        <v>0</v>
      </c>
      <c r="P187" s="88">
        <v>0</v>
      </c>
      <c r="Q187" s="88">
        <v>0</v>
      </c>
      <c r="R187" s="88">
        <v>0</v>
      </c>
      <c r="S187" s="88">
        <v>0</v>
      </c>
      <c r="T187" s="88">
        <v>0</v>
      </c>
      <c r="U187" s="88">
        <v>0</v>
      </c>
      <c r="V187" s="88">
        <v>0</v>
      </c>
      <c r="W187" s="149">
        <f t="shared" si="68"/>
        <v>2996698.9</v>
      </c>
    </row>
    <row r="188" spans="1:24" x14ac:dyDescent="0.2">
      <c r="A188" s="160">
        <v>1113</v>
      </c>
      <c r="B188" s="9" t="s">
        <v>147</v>
      </c>
      <c r="C188" s="8" t="s">
        <v>249</v>
      </c>
      <c r="D188" s="86">
        <v>2988486.4</v>
      </c>
      <c r="E188" s="88">
        <v>0</v>
      </c>
      <c r="F188" s="88">
        <v>0</v>
      </c>
      <c r="G188" s="88">
        <v>0</v>
      </c>
      <c r="H188" s="88">
        <v>0</v>
      </c>
      <c r="I188" s="147">
        <f t="shared" ref="I188:I224" si="69">D188+E188-F188+G188-H188</f>
        <v>2988486.4</v>
      </c>
      <c r="J188" s="88">
        <v>0</v>
      </c>
      <c r="K188" s="88">
        <v>0</v>
      </c>
      <c r="L188" s="88">
        <v>0</v>
      </c>
      <c r="M188" s="88">
        <v>0</v>
      </c>
      <c r="N188" s="88">
        <v>0</v>
      </c>
      <c r="O188" s="88">
        <v>0</v>
      </c>
      <c r="P188" s="88">
        <v>0</v>
      </c>
      <c r="Q188" s="88">
        <v>0</v>
      </c>
      <c r="R188" s="88">
        <v>0</v>
      </c>
      <c r="S188" s="88">
        <v>0</v>
      </c>
      <c r="T188" s="88">
        <v>0</v>
      </c>
      <c r="U188" s="88">
        <v>0</v>
      </c>
      <c r="V188" s="88">
        <v>0</v>
      </c>
      <c r="W188" s="149">
        <f t="shared" si="68"/>
        <v>2988486.4</v>
      </c>
    </row>
    <row r="189" spans="1:24" x14ac:dyDescent="0.2">
      <c r="A189" s="160">
        <v>1114</v>
      </c>
      <c r="B189" s="9" t="s">
        <v>147</v>
      </c>
      <c r="C189" s="8" t="s">
        <v>249</v>
      </c>
      <c r="D189" s="86">
        <v>39607869</v>
      </c>
      <c r="E189" s="88">
        <v>0</v>
      </c>
      <c r="F189" s="88">
        <v>0</v>
      </c>
      <c r="G189" s="88">
        <v>0</v>
      </c>
      <c r="H189" s="88">
        <v>0</v>
      </c>
      <c r="I189" s="147">
        <f t="shared" si="69"/>
        <v>39607869</v>
      </c>
      <c r="J189" s="88">
        <v>0</v>
      </c>
      <c r="K189" s="88">
        <v>0</v>
      </c>
      <c r="L189" s="88">
        <v>0</v>
      </c>
      <c r="M189" s="88">
        <v>0</v>
      </c>
      <c r="N189" s="88">
        <v>0</v>
      </c>
      <c r="O189" s="88">
        <v>0</v>
      </c>
      <c r="P189" s="88">
        <v>0</v>
      </c>
      <c r="Q189" s="88">
        <v>0</v>
      </c>
      <c r="R189" s="88">
        <v>0</v>
      </c>
      <c r="S189" s="88">
        <v>0</v>
      </c>
      <c r="T189" s="88">
        <v>0</v>
      </c>
      <c r="U189" s="88">
        <v>0</v>
      </c>
      <c r="V189" s="88">
        <v>0</v>
      </c>
      <c r="W189" s="149">
        <f t="shared" ref="W189:W209" si="70">I189-V189</f>
        <v>39607869</v>
      </c>
    </row>
    <row r="190" spans="1:24" x14ac:dyDescent="0.2">
      <c r="A190" s="160">
        <v>1116</v>
      </c>
      <c r="B190" s="9" t="s">
        <v>147</v>
      </c>
      <c r="C190" s="8" t="s">
        <v>249</v>
      </c>
      <c r="D190" s="86">
        <v>8204276.5</v>
      </c>
      <c r="E190" s="88">
        <v>0</v>
      </c>
      <c r="F190" s="88">
        <v>0</v>
      </c>
      <c r="G190" s="88">
        <v>0</v>
      </c>
      <c r="H190" s="88">
        <v>0</v>
      </c>
      <c r="I190" s="147">
        <f t="shared" si="69"/>
        <v>8204276.5</v>
      </c>
      <c r="J190" s="88">
        <v>0</v>
      </c>
      <c r="K190" s="88">
        <v>0</v>
      </c>
      <c r="L190" s="88">
        <v>0</v>
      </c>
      <c r="M190" s="88">
        <v>0</v>
      </c>
      <c r="N190" s="88">
        <v>0</v>
      </c>
      <c r="O190" s="88">
        <v>0</v>
      </c>
      <c r="P190" s="88">
        <v>0</v>
      </c>
      <c r="Q190" s="88">
        <v>0</v>
      </c>
      <c r="R190" s="88">
        <v>0</v>
      </c>
      <c r="S190" s="88">
        <v>0</v>
      </c>
      <c r="T190" s="88">
        <v>0</v>
      </c>
      <c r="U190" s="88">
        <v>0</v>
      </c>
      <c r="V190" s="88">
        <v>0</v>
      </c>
      <c r="W190" s="149">
        <f t="shared" si="70"/>
        <v>8204276.5</v>
      </c>
    </row>
    <row r="191" spans="1:24" x14ac:dyDescent="0.2">
      <c r="A191" s="160">
        <v>1124</v>
      </c>
      <c r="B191" s="9" t="s">
        <v>147</v>
      </c>
      <c r="C191" s="8" t="s">
        <v>249</v>
      </c>
      <c r="D191" s="86">
        <v>8501104.9000000004</v>
      </c>
      <c r="E191" s="88">
        <v>0</v>
      </c>
      <c r="F191" s="88">
        <v>0</v>
      </c>
      <c r="G191" s="88">
        <v>0</v>
      </c>
      <c r="H191" s="88">
        <v>0</v>
      </c>
      <c r="I191" s="147">
        <f t="shared" si="69"/>
        <v>8501104.9000000004</v>
      </c>
      <c r="J191" s="88">
        <v>0</v>
      </c>
      <c r="K191" s="88">
        <v>0</v>
      </c>
      <c r="L191" s="88">
        <v>0</v>
      </c>
      <c r="M191" s="88">
        <v>0</v>
      </c>
      <c r="N191" s="88">
        <v>0</v>
      </c>
      <c r="O191" s="88">
        <v>0</v>
      </c>
      <c r="P191" s="88">
        <v>0</v>
      </c>
      <c r="Q191" s="88">
        <v>0</v>
      </c>
      <c r="R191" s="88">
        <v>0</v>
      </c>
      <c r="S191" s="88">
        <v>0</v>
      </c>
      <c r="T191" s="88">
        <v>0</v>
      </c>
      <c r="U191" s="88">
        <v>0</v>
      </c>
      <c r="V191" s="88">
        <v>0</v>
      </c>
      <c r="W191" s="149">
        <f t="shared" si="70"/>
        <v>8501104.9000000004</v>
      </c>
    </row>
    <row r="192" spans="1:24" x14ac:dyDescent="0.2">
      <c r="A192" s="160">
        <v>1125</v>
      </c>
      <c r="B192" s="9" t="s">
        <v>147</v>
      </c>
      <c r="C192" s="8" t="s">
        <v>249</v>
      </c>
      <c r="D192" s="86">
        <v>8501104.9000000004</v>
      </c>
      <c r="E192" s="88">
        <v>0</v>
      </c>
      <c r="F192" s="88">
        <v>0</v>
      </c>
      <c r="G192" s="88">
        <v>0</v>
      </c>
      <c r="H192" s="88">
        <v>0</v>
      </c>
      <c r="I192" s="147">
        <f>D192+E192-F192+G192-H192</f>
        <v>8501104.9000000004</v>
      </c>
      <c r="J192" s="88">
        <v>0</v>
      </c>
      <c r="K192" s="88">
        <v>0</v>
      </c>
      <c r="L192" s="88">
        <v>0</v>
      </c>
      <c r="M192" s="88">
        <v>0</v>
      </c>
      <c r="N192" s="88">
        <v>0</v>
      </c>
      <c r="O192" s="88">
        <v>0</v>
      </c>
      <c r="P192" s="88">
        <v>0</v>
      </c>
      <c r="Q192" s="88">
        <v>0</v>
      </c>
      <c r="R192" s="88">
        <v>0</v>
      </c>
      <c r="S192" s="88">
        <v>0</v>
      </c>
      <c r="T192" s="88">
        <v>0</v>
      </c>
      <c r="U192" s="88">
        <v>0</v>
      </c>
      <c r="V192" s="88">
        <v>0</v>
      </c>
      <c r="W192" s="149">
        <f t="shared" si="70"/>
        <v>8501104.9000000004</v>
      </c>
    </row>
    <row r="193" spans="1:23" ht="25.5" x14ac:dyDescent="0.2">
      <c r="A193" s="160">
        <v>1128</v>
      </c>
      <c r="B193" s="9" t="s">
        <v>277</v>
      </c>
      <c r="C193" s="8" t="s">
        <v>249</v>
      </c>
      <c r="D193" s="86">
        <v>3166010.2</v>
      </c>
      <c r="E193" s="88">
        <v>0</v>
      </c>
      <c r="F193" s="88">
        <v>0</v>
      </c>
      <c r="G193" s="88">
        <v>0</v>
      </c>
      <c r="H193" s="88">
        <v>0</v>
      </c>
      <c r="I193" s="147">
        <f>D193+E193-F193+G193-H193</f>
        <v>3166010.2</v>
      </c>
      <c r="J193" s="88">
        <v>0</v>
      </c>
      <c r="K193" s="88">
        <v>0</v>
      </c>
      <c r="L193" s="88">
        <v>0</v>
      </c>
      <c r="M193" s="88">
        <v>0</v>
      </c>
      <c r="N193" s="88">
        <v>0</v>
      </c>
      <c r="O193" s="88">
        <v>0</v>
      </c>
      <c r="P193" s="88">
        <v>0</v>
      </c>
      <c r="Q193" s="88">
        <v>0</v>
      </c>
      <c r="R193" s="88">
        <v>0</v>
      </c>
      <c r="S193" s="88">
        <v>0</v>
      </c>
      <c r="T193" s="88">
        <v>0</v>
      </c>
      <c r="U193" s="88">
        <v>0</v>
      </c>
      <c r="V193" s="88">
        <v>0</v>
      </c>
      <c r="W193" s="149">
        <f t="shared" si="70"/>
        <v>3166010.2</v>
      </c>
    </row>
    <row r="194" spans="1:23" x14ac:dyDescent="0.2">
      <c r="A194" s="160">
        <v>1141</v>
      </c>
      <c r="B194" s="9" t="s">
        <v>147</v>
      </c>
      <c r="C194" s="8" t="s">
        <v>249</v>
      </c>
      <c r="D194" s="86">
        <v>7005673.4000000004</v>
      </c>
      <c r="E194" s="88">
        <v>0</v>
      </c>
      <c r="F194" s="88">
        <v>0</v>
      </c>
      <c r="G194" s="88">
        <v>0</v>
      </c>
      <c r="H194" s="88">
        <v>0</v>
      </c>
      <c r="I194" s="147">
        <f>D194+E194-F194+G194-H194</f>
        <v>7005673.4000000004</v>
      </c>
      <c r="J194" s="88">
        <v>0</v>
      </c>
      <c r="K194" s="88">
        <v>0</v>
      </c>
      <c r="L194" s="88">
        <v>0</v>
      </c>
      <c r="M194" s="88">
        <v>0</v>
      </c>
      <c r="N194" s="88">
        <v>0</v>
      </c>
      <c r="O194" s="88">
        <v>0</v>
      </c>
      <c r="P194" s="88">
        <v>0</v>
      </c>
      <c r="Q194" s="88">
        <v>0</v>
      </c>
      <c r="R194" s="88">
        <v>0</v>
      </c>
      <c r="S194" s="88">
        <v>0</v>
      </c>
      <c r="T194" s="88">
        <v>0</v>
      </c>
      <c r="U194" s="88">
        <v>0</v>
      </c>
      <c r="V194" s="88">
        <v>0</v>
      </c>
      <c r="W194" s="149">
        <f t="shared" si="70"/>
        <v>7005673.4000000004</v>
      </c>
    </row>
    <row r="195" spans="1:23" ht="25.5" x14ac:dyDescent="0.2">
      <c r="A195" s="160">
        <v>1178</v>
      </c>
      <c r="B195" s="9" t="s">
        <v>148</v>
      </c>
      <c r="C195" s="8" t="s">
        <v>233</v>
      </c>
      <c r="D195" s="86">
        <v>682636010.55999994</v>
      </c>
      <c r="E195" s="88">
        <v>0</v>
      </c>
      <c r="F195" s="88">
        <v>0</v>
      </c>
      <c r="G195" s="88">
        <v>0</v>
      </c>
      <c r="H195" s="88">
        <v>0</v>
      </c>
      <c r="I195" s="147">
        <f>D195+E195-F195+G195-H195</f>
        <v>682636010.55999994</v>
      </c>
      <c r="J195" s="88">
        <v>0</v>
      </c>
      <c r="K195" s="88">
        <v>0</v>
      </c>
      <c r="L195" s="88">
        <v>0</v>
      </c>
      <c r="M195" s="88">
        <v>0</v>
      </c>
      <c r="N195" s="88">
        <v>0</v>
      </c>
      <c r="O195" s="88">
        <v>0</v>
      </c>
      <c r="P195" s="88">
        <v>0</v>
      </c>
      <c r="Q195" s="88">
        <v>0</v>
      </c>
      <c r="R195" s="88">
        <v>0</v>
      </c>
      <c r="S195" s="88">
        <v>0</v>
      </c>
      <c r="T195" s="88">
        <v>0</v>
      </c>
      <c r="U195" s="88">
        <v>0</v>
      </c>
      <c r="V195" s="88">
        <v>0</v>
      </c>
      <c r="W195" s="149">
        <f t="shared" si="70"/>
        <v>682636010.55999994</v>
      </c>
    </row>
    <row r="196" spans="1:23" ht="25.5" x14ac:dyDescent="0.2">
      <c r="A196" s="160">
        <v>1179</v>
      </c>
      <c r="B196" s="9" t="s">
        <v>148</v>
      </c>
      <c r="C196" s="8" t="s">
        <v>233</v>
      </c>
      <c r="D196" s="86">
        <v>313839809.69999999</v>
      </c>
      <c r="E196" s="88">
        <v>0</v>
      </c>
      <c r="F196" s="88">
        <v>0</v>
      </c>
      <c r="G196" s="88">
        <v>0</v>
      </c>
      <c r="H196" s="88">
        <v>0</v>
      </c>
      <c r="I196" s="147">
        <f>D196+E196-F196+G196-H196</f>
        <v>313839809.69999999</v>
      </c>
      <c r="J196" s="88">
        <v>0</v>
      </c>
      <c r="K196" s="88">
        <v>0</v>
      </c>
      <c r="L196" s="88">
        <v>0</v>
      </c>
      <c r="M196" s="88">
        <v>0</v>
      </c>
      <c r="N196" s="88">
        <v>0</v>
      </c>
      <c r="O196" s="88">
        <v>0</v>
      </c>
      <c r="P196" s="88">
        <v>0</v>
      </c>
      <c r="Q196" s="88">
        <v>0</v>
      </c>
      <c r="R196" s="88">
        <v>0</v>
      </c>
      <c r="S196" s="88">
        <v>0</v>
      </c>
      <c r="T196" s="88">
        <v>0</v>
      </c>
      <c r="U196" s="88">
        <v>0</v>
      </c>
      <c r="V196" s="88">
        <v>0</v>
      </c>
      <c r="W196" s="149">
        <f t="shared" si="70"/>
        <v>313839809.69999999</v>
      </c>
    </row>
    <row r="197" spans="1:23" ht="25.5" x14ac:dyDescent="0.2">
      <c r="A197" s="160">
        <v>1080</v>
      </c>
      <c r="B197" s="9" t="s">
        <v>140</v>
      </c>
      <c r="C197" s="8" t="s">
        <v>233</v>
      </c>
      <c r="D197" s="86">
        <v>180347129</v>
      </c>
      <c r="E197" s="88">
        <v>0</v>
      </c>
      <c r="F197" s="88">
        <v>0</v>
      </c>
      <c r="G197" s="88">
        <v>0</v>
      </c>
      <c r="H197" s="88">
        <v>0</v>
      </c>
      <c r="I197" s="147">
        <f t="shared" ref="I197:I245" si="71">D197+E197-F197+G197-H197</f>
        <v>180347129</v>
      </c>
      <c r="J197" s="147"/>
      <c r="K197" s="147"/>
      <c r="L197" s="147"/>
      <c r="M197" s="147"/>
      <c r="N197" s="147"/>
      <c r="O197" s="147"/>
      <c r="P197" s="147"/>
      <c r="Q197" s="147"/>
      <c r="R197" s="147"/>
      <c r="S197" s="147"/>
      <c r="T197" s="147"/>
      <c r="U197" s="147"/>
      <c r="V197" s="147"/>
      <c r="W197" s="149">
        <f t="shared" si="70"/>
        <v>180347129</v>
      </c>
    </row>
    <row r="198" spans="1:23" x14ac:dyDescent="0.2">
      <c r="A198" s="160">
        <v>1081</v>
      </c>
      <c r="B198" s="9" t="s">
        <v>147</v>
      </c>
      <c r="C198" s="8" t="s">
        <v>249</v>
      </c>
      <c r="D198" s="86">
        <v>5690350.9000000004</v>
      </c>
      <c r="E198" s="88">
        <v>0</v>
      </c>
      <c r="F198" s="88">
        <v>0</v>
      </c>
      <c r="G198" s="88">
        <v>0</v>
      </c>
      <c r="H198" s="88">
        <v>0</v>
      </c>
      <c r="I198" s="147">
        <f t="shared" si="71"/>
        <v>5690350.9000000004</v>
      </c>
      <c r="J198" s="147"/>
      <c r="K198" s="147"/>
      <c r="L198" s="147"/>
      <c r="M198" s="147"/>
      <c r="N198" s="147"/>
      <c r="O198" s="147"/>
      <c r="P198" s="147"/>
      <c r="Q198" s="147"/>
      <c r="R198" s="147"/>
      <c r="S198" s="147"/>
      <c r="T198" s="147"/>
      <c r="U198" s="147"/>
      <c r="V198" s="147"/>
      <c r="W198" s="149">
        <f t="shared" si="70"/>
        <v>5690350.9000000004</v>
      </c>
    </row>
    <row r="199" spans="1:23" ht="25.5" x14ac:dyDescent="0.2">
      <c r="A199" s="160">
        <v>1087</v>
      </c>
      <c r="B199" s="9" t="s">
        <v>148</v>
      </c>
      <c r="C199" s="8" t="s">
        <v>233</v>
      </c>
      <c r="D199" s="86">
        <v>10600000.01</v>
      </c>
      <c r="E199" s="88">
        <v>0</v>
      </c>
      <c r="F199" s="88">
        <v>0</v>
      </c>
      <c r="G199" s="88">
        <v>0</v>
      </c>
      <c r="H199" s="88">
        <v>0</v>
      </c>
      <c r="I199" s="147">
        <f t="shared" si="71"/>
        <v>10600000.01</v>
      </c>
      <c r="J199" s="147"/>
      <c r="K199" s="147"/>
      <c r="L199" s="147"/>
      <c r="M199" s="147"/>
      <c r="N199" s="147"/>
      <c r="O199" s="147"/>
      <c r="P199" s="147"/>
      <c r="Q199" s="147"/>
      <c r="R199" s="147"/>
      <c r="S199" s="147"/>
      <c r="T199" s="147"/>
      <c r="U199" s="147"/>
      <c r="V199" s="147"/>
      <c r="W199" s="149">
        <f t="shared" si="70"/>
        <v>10600000.01</v>
      </c>
    </row>
    <row r="200" spans="1:23" ht="25.5" x14ac:dyDescent="0.2">
      <c r="A200" s="160">
        <v>1213</v>
      </c>
      <c r="B200" s="9" t="s">
        <v>277</v>
      </c>
      <c r="C200" s="8" t="s">
        <v>249</v>
      </c>
      <c r="D200" s="86">
        <v>5028070.7</v>
      </c>
      <c r="E200" s="88">
        <v>0</v>
      </c>
      <c r="F200" s="88">
        <v>0</v>
      </c>
      <c r="G200" s="88">
        <v>0</v>
      </c>
      <c r="H200" s="88">
        <v>0</v>
      </c>
      <c r="I200" s="147">
        <f t="shared" si="71"/>
        <v>5028070.7</v>
      </c>
      <c r="J200" s="88">
        <v>0</v>
      </c>
      <c r="K200" s="88">
        <v>0</v>
      </c>
      <c r="L200" s="88">
        <v>0</v>
      </c>
      <c r="M200" s="88">
        <v>0</v>
      </c>
      <c r="N200" s="88">
        <v>0</v>
      </c>
      <c r="O200" s="88">
        <v>0</v>
      </c>
      <c r="P200" s="88">
        <v>0</v>
      </c>
      <c r="Q200" s="88">
        <v>0</v>
      </c>
      <c r="R200" s="88">
        <v>0</v>
      </c>
      <c r="S200" s="88">
        <v>0</v>
      </c>
      <c r="T200" s="88">
        <v>0</v>
      </c>
      <c r="U200" s="88">
        <v>0</v>
      </c>
      <c r="V200" s="88">
        <v>0</v>
      </c>
      <c r="W200" s="149">
        <f t="shared" si="70"/>
        <v>5028070.7</v>
      </c>
    </row>
    <row r="201" spans="1:23" ht="25.5" x14ac:dyDescent="0.2">
      <c r="A201" s="160">
        <v>1240</v>
      </c>
      <c r="B201" s="9" t="s">
        <v>278</v>
      </c>
      <c r="C201" s="8" t="s">
        <v>233</v>
      </c>
      <c r="D201" s="86">
        <v>1080000</v>
      </c>
      <c r="E201" s="88">
        <v>0</v>
      </c>
      <c r="F201" s="88">
        <v>0</v>
      </c>
      <c r="G201" s="88">
        <v>0</v>
      </c>
      <c r="H201" s="88">
        <v>0</v>
      </c>
      <c r="I201" s="147">
        <f t="shared" si="71"/>
        <v>1080000</v>
      </c>
      <c r="J201" s="88">
        <v>0</v>
      </c>
      <c r="K201" s="88">
        <v>0</v>
      </c>
      <c r="L201" s="88">
        <v>0</v>
      </c>
      <c r="M201" s="88">
        <v>0</v>
      </c>
      <c r="N201" s="88">
        <v>0</v>
      </c>
      <c r="O201" s="88">
        <v>0</v>
      </c>
      <c r="P201" s="88">
        <v>0</v>
      </c>
      <c r="Q201" s="88">
        <v>0</v>
      </c>
      <c r="R201" s="88">
        <v>0</v>
      </c>
      <c r="S201" s="88">
        <v>0</v>
      </c>
      <c r="T201" s="88">
        <v>0</v>
      </c>
      <c r="U201" s="88">
        <v>0</v>
      </c>
      <c r="V201" s="88">
        <v>0</v>
      </c>
      <c r="W201" s="149">
        <f t="shared" si="70"/>
        <v>1080000</v>
      </c>
    </row>
    <row r="202" spans="1:23" ht="25.5" x14ac:dyDescent="0.2">
      <c r="A202" s="160">
        <v>1324</v>
      </c>
      <c r="B202" s="9" t="s">
        <v>277</v>
      </c>
      <c r="C202" s="8" t="s">
        <v>249</v>
      </c>
      <c r="D202" s="86">
        <v>40123380</v>
      </c>
      <c r="E202" s="88">
        <v>0</v>
      </c>
      <c r="F202" s="88">
        <v>0</v>
      </c>
      <c r="G202" s="88">
        <v>0</v>
      </c>
      <c r="H202" s="88">
        <v>0</v>
      </c>
      <c r="I202" s="147">
        <f t="shared" si="71"/>
        <v>40123380</v>
      </c>
      <c r="J202" s="88">
        <v>0</v>
      </c>
      <c r="K202" s="88">
        <v>0</v>
      </c>
      <c r="L202" s="88">
        <v>0</v>
      </c>
      <c r="M202" s="88">
        <v>0</v>
      </c>
      <c r="N202" s="88">
        <v>0</v>
      </c>
      <c r="O202" s="88">
        <v>0</v>
      </c>
      <c r="P202" s="88">
        <v>0</v>
      </c>
      <c r="Q202" s="88">
        <v>0</v>
      </c>
      <c r="R202" s="88">
        <v>0</v>
      </c>
      <c r="S202" s="88">
        <v>0</v>
      </c>
      <c r="T202" s="88">
        <v>0</v>
      </c>
      <c r="U202" s="88">
        <v>0</v>
      </c>
      <c r="V202" s="88">
        <v>0</v>
      </c>
      <c r="W202" s="149">
        <f t="shared" si="70"/>
        <v>40123380</v>
      </c>
    </row>
    <row r="203" spans="1:23" ht="25.5" x14ac:dyDescent="0.2">
      <c r="A203" s="160">
        <v>1325</v>
      </c>
      <c r="B203" s="9" t="s">
        <v>277</v>
      </c>
      <c r="C203" s="8" t="s">
        <v>249</v>
      </c>
      <c r="D203" s="86">
        <v>2207993.2999999998</v>
      </c>
      <c r="E203" s="88">
        <v>0</v>
      </c>
      <c r="F203" s="88">
        <v>0</v>
      </c>
      <c r="G203" s="88">
        <v>0</v>
      </c>
      <c r="H203" s="88">
        <v>0</v>
      </c>
      <c r="I203" s="147">
        <f t="shared" si="71"/>
        <v>2207993.2999999998</v>
      </c>
      <c r="J203" s="88">
        <v>0</v>
      </c>
      <c r="K203" s="88">
        <v>0</v>
      </c>
      <c r="L203" s="88">
        <v>0</v>
      </c>
      <c r="M203" s="88">
        <v>0</v>
      </c>
      <c r="N203" s="88">
        <v>0</v>
      </c>
      <c r="O203" s="88">
        <v>0</v>
      </c>
      <c r="P203" s="88">
        <v>0</v>
      </c>
      <c r="Q203" s="88">
        <v>0</v>
      </c>
      <c r="R203" s="88">
        <v>0</v>
      </c>
      <c r="S203" s="88">
        <v>0</v>
      </c>
      <c r="T203" s="88">
        <v>0</v>
      </c>
      <c r="U203" s="88">
        <v>0</v>
      </c>
      <c r="V203" s="88">
        <v>0</v>
      </c>
      <c r="W203" s="149">
        <f t="shared" si="70"/>
        <v>2207993.2999999998</v>
      </c>
    </row>
    <row r="204" spans="1:23" ht="25.5" x14ac:dyDescent="0.2">
      <c r="A204" s="160">
        <v>1326</v>
      </c>
      <c r="B204" s="9" t="s">
        <v>277</v>
      </c>
      <c r="C204" s="8" t="s">
        <v>249</v>
      </c>
      <c r="D204" s="86">
        <v>2197968.4</v>
      </c>
      <c r="E204" s="88">
        <v>0</v>
      </c>
      <c r="F204" s="88">
        <v>0</v>
      </c>
      <c r="G204" s="88">
        <v>0</v>
      </c>
      <c r="H204" s="88">
        <v>0</v>
      </c>
      <c r="I204" s="147">
        <f t="shared" si="71"/>
        <v>2197968.4</v>
      </c>
      <c r="J204" s="88">
        <v>0</v>
      </c>
      <c r="K204" s="88">
        <v>0</v>
      </c>
      <c r="L204" s="88">
        <v>0</v>
      </c>
      <c r="M204" s="88">
        <v>0</v>
      </c>
      <c r="N204" s="88">
        <v>0</v>
      </c>
      <c r="O204" s="88">
        <v>0</v>
      </c>
      <c r="P204" s="88">
        <v>0</v>
      </c>
      <c r="Q204" s="88">
        <v>0</v>
      </c>
      <c r="R204" s="88">
        <v>0</v>
      </c>
      <c r="S204" s="88">
        <v>0</v>
      </c>
      <c r="T204" s="88">
        <v>0</v>
      </c>
      <c r="U204" s="88">
        <v>0</v>
      </c>
      <c r="V204" s="88">
        <v>0</v>
      </c>
      <c r="W204" s="149">
        <f t="shared" si="70"/>
        <v>2197968.4</v>
      </c>
    </row>
    <row r="205" spans="1:23" ht="25.5" x14ac:dyDescent="0.2">
      <c r="A205" s="160">
        <v>1328</v>
      </c>
      <c r="B205" s="9" t="s">
        <v>156</v>
      </c>
      <c r="C205" s="8" t="s">
        <v>233</v>
      </c>
      <c r="D205" s="86">
        <v>1316000</v>
      </c>
      <c r="E205" s="88">
        <v>0</v>
      </c>
      <c r="F205" s="88">
        <v>0</v>
      </c>
      <c r="G205" s="88">
        <v>0</v>
      </c>
      <c r="H205" s="88">
        <v>0</v>
      </c>
      <c r="I205" s="147">
        <f t="shared" si="71"/>
        <v>1316000</v>
      </c>
      <c r="J205" s="88">
        <v>0</v>
      </c>
      <c r="K205" s="88">
        <v>0</v>
      </c>
      <c r="L205" s="88">
        <v>0</v>
      </c>
      <c r="M205" s="88">
        <v>0</v>
      </c>
      <c r="N205" s="88">
        <v>0</v>
      </c>
      <c r="O205" s="88">
        <v>0</v>
      </c>
      <c r="P205" s="88">
        <v>0</v>
      </c>
      <c r="Q205" s="88">
        <v>0</v>
      </c>
      <c r="R205" s="88">
        <v>0</v>
      </c>
      <c r="S205" s="88">
        <v>0</v>
      </c>
      <c r="T205" s="88">
        <v>0</v>
      </c>
      <c r="U205" s="88">
        <v>0</v>
      </c>
      <c r="V205" s="88">
        <v>0</v>
      </c>
      <c r="W205" s="149">
        <f t="shared" si="70"/>
        <v>1316000</v>
      </c>
    </row>
    <row r="206" spans="1:23" ht="25.5" x14ac:dyDescent="0.2">
      <c r="A206" s="160">
        <v>1333</v>
      </c>
      <c r="B206" s="9" t="s">
        <v>156</v>
      </c>
      <c r="C206" s="8" t="s">
        <v>233</v>
      </c>
      <c r="D206" s="86">
        <v>10802000</v>
      </c>
      <c r="E206" s="88">
        <v>0</v>
      </c>
      <c r="F206" s="88">
        <v>0</v>
      </c>
      <c r="G206" s="88">
        <v>0</v>
      </c>
      <c r="H206" s="88">
        <v>0</v>
      </c>
      <c r="I206" s="147">
        <f t="shared" si="71"/>
        <v>10802000</v>
      </c>
      <c r="J206" s="88">
        <v>0</v>
      </c>
      <c r="K206" s="88">
        <v>0</v>
      </c>
      <c r="L206" s="88">
        <v>0</v>
      </c>
      <c r="M206" s="88">
        <v>0</v>
      </c>
      <c r="N206" s="88">
        <v>0</v>
      </c>
      <c r="O206" s="88">
        <v>0</v>
      </c>
      <c r="P206" s="88">
        <v>0</v>
      </c>
      <c r="Q206" s="88">
        <v>0</v>
      </c>
      <c r="R206" s="88">
        <v>0</v>
      </c>
      <c r="S206" s="88">
        <v>0</v>
      </c>
      <c r="T206" s="88">
        <v>0</v>
      </c>
      <c r="U206" s="88">
        <v>0</v>
      </c>
      <c r="V206" s="88">
        <v>0</v>
      </c>
      <c r="W206" s="149">
        <f t="shared" si="70"/>
        <v>10802000</v>
      </c>
    </row>
    <row r="207" spans="1:23" x14ac:dyDescent="0.2">
      <c r="A207" s="160">
        <v>1345</v>
      </c>
      <c r="B207" s="9" t="s">
        <v>279</v>
      </c>
      <c r="C207" s="8" t="s">
        <v>107</v>
      </c>
      <c r="D207" s="86">
        <v>166136196.56</v>
      </c>
      <c r="E207" s="88">
        <v>0</v>
      </c>
      <c r="F207" s="88">
        <v>0</v>
      </c>
      <c r="G207" s="88">
        <v>0</v>
      </c>
      <c r="H207" s="88">
        <v>0</v>
      </c>
      <c r="I207" s="147">
        <f t="shared" si="71"/>
        <v>166136196.56</v>
      </c>
      <c r="J207" s="88">
        <v>0</v>
      </c>
      <c r="K207" s="88">
        <v>0</v>
      </c>
      <c r="L207" s="88">
        <v>0</v>
      </c>
      <c r="M207" s="88">
        <v>0</v>
      </c>
      <c r="N207" s="88">
        <v>0</v>
      </c>
      <c r="O207" s="88">
        <v>0</v>
      </c>
      <c r="P207" s="88">
        <v>0</v>
      </c>
      <c r="Q207" s="88">
        <v>0</v>
      </c>
      <c r="R207" s="88">
        <v>0</v>
      </c>
      <c r="S207" s="88">
        <v>0</v>
      </c>
      <c r="T207" s="88">
        <v>0</v>
      </c>
      <c r="U207" s="88">
        <v>0</v>
      </c>
      <c r="V207" s="88">
        <v>0</v>
      </c>
      <c r="W207" s="149">
        <f t="shared" si="70"/>
        <v>166136196.56</v>
      </c>
    </row>
    <row r="208" spans="1:23" ht="25.5" x14ac:dyDescent="0.2">
      <c r="A208" s="160">
        <v>1348</v>
      </c>
      <c r="B208" s="9" t="s">
        <v>280</v>
      </c>
      <c r="C208" s="8" t="s">
        <v>102</v>
      </c>
      <c r="D208" s="86">
        <v>228482685.99000001</v>
      </c>
      <c r="E208" s="88">
        <v>0</v>
      </c>
      <c r="F208" s="88">
        <v>0</v>
      </c>
      <c r="G208" s="88">
        <v>0</v>
      </c>
      <c r="H208" s="88">
        <v>0</v>
      </c>
      <c r="I208" s="147">
        <f t="shared" si="71"/>
        <v>228482685.99000001</v>
      </c>
      <c r="J208" s="88">
        <v>0</v>
      </c>
      <c r="K208" s="88">
        <v>0</v>
      </c>
      <c r="L208" s="88">
        <v>0</v>
      </c>
      <c r="M208" s="88">
        <v>0</v>
      </c>
      <c r="N208" s="88">
        <v>0</v>
      </c>
      <c r="O208" s="88">
        <v>0</v>
      </c>
      <c r="P208" s="88">
        <v>0</v>
      </c>
      <c r="Q208" s="88">
        <v>0</v>
      </c>
      <c r="R208" s="88">
        <v>0</v>
      </c>
      <c r="S208" s="88">
        <v>0</v>
      </c>
      <c r="T208" s="88">
        <v>0</v>
      </c>
      <c r="U208" s="88">
        <v>0</v>
      </c>
      <c r="V208" s="88">
        <v>0</v>
      </c>
      <c r="W208" s="149">
        <f t="shared" si="70"/>
        <v>228482685.99000001</v>
      </c>
    </row>
    <row r="209" spans="1:23" ht="25.5" x14ac:dyDescent="0.2">
      <c r="A209" s="160">
        <v>1358</v>
      </c>
      <c r="B209" s="9" t="s">
        <v>278</v>
      </c>
      <c r="C209" s="8" t="s">
        <v>233</v>
      </c>
      <c r="D209" s="86">
        <v>21200000</v>
      </c>
      <c r="E209" s="88">
        <v>0</v>
      </c>
      <c r="F209" s="88">
        <v>0</v>
      </c>
      <c r="G209" s="88">
        <v>0</v>
      </c>
      <c r="H209" s="88">
        <v>0</v>
      </c>
      <c r="I209" s="147">
        <f t="shared" si="71"/>
        <v>21200000</v>
      </c>
      <c r="J209" s="88">
        <v>0</v>
      </c>
      <c r="K209" s="88">
        <v>0</v>
      </c>
      <c r="L209" s="88">
        <v>0</v>
      </c>
      <c r="M209" s="88">
        <v>0</v>
      </c>
      <c r="N209" s="88">
        <v>0</v>
      </c>
      <c r="O209" s="88">
        <v>0</v>
      </c>
      <c r="P209" s="88">
        <v>0</v>
      </c>
      <c r="Q209" s="88">
        <v>0</v>
      </c>
      <c r="R209" s="88">
        <v>0</v>
      </c>
      <c r="S209" s="88">
        <v>0</v>
      </c>
      <c r="T209" s="88">
        <v>0</v>
      </c>
      <c r="U209" s="88">
        <v>0</v>
      </c>
      <c r="V209" s="88">
        <v>0</v>
      </c>
      <c r="W209" s="149">
        <f t="shared" si="70"/>
        <v>21200000</v>
      </c>
    </row>
    <row r="210" spans="1:23" ht="25.5" x14ac:dyDescent="0.2">
      <c r="A210" s="160">
        <v>1376</v>
      </c>
      <c r="B210" s="9" t="s">
        <v>281</v>
      </c>
      <c r="C210" s="8" t="s">
        <v>107</v>
      </c>
      <c r="D210" s="86">
        <v>573619664.69000006</v>
      </c>
      <c r="E210" s="88">
        <v>0</v>
      </c>
      <c r="F210" s="88">
        <v>0</v>
      </c>
      <c r="G210" s="88">
        <v>0</v>
      </c>
      <c r="H210" s="88">
        <v>0</v>
      </c>
      <c r="I210" s="147">
        <f t="shared" si="71"/>
        <v>573619664.69000006</v>
      </c>
      <c r="J210" s="88">
        <v>0</v>
      </c>
      <c r="K210" s="88">
        <v>0</v>
      </c>
      <c r="L210" s="88">
        <v>0</v>
      </c>
      <c r="M210" s="88">
        <v>0</v>
      </c>
      <c r="N210" s="88">
        <v>0</v>
      </c>
      <c r="O210" s="88">
        <v>0</v>
      </c>
      <c r="P210" s="88">
        <v>0</v>
      </c>
      <c r="Q210" s="88">
        <v>0</v>
      </c>
      <c r="R210" s="88">
        <v>0</v>
      </c>
      <c r="S210" s="88">
        <v>0</v>
      </c>
      <c r="T210" s="88">
        <v>0</v>
      </c>
      <c r="U210" s="88">
        <v>0</v>
      </c>
      <c r="V210" s="88">
        <v>0</v>
      </c>
      <c r="W210" s="149"/>
    </row>
    <row r="211" spans="1:23" ht="25.5" x14ac:dyDescent="0.2">
      <c r="A211" s="160">
        <v>1377</v>
      </c>
      <c r="B211" s="9" t="s">
        <v>281</v>
      </c>
      <c r="C211" s="8" t="s">
        <v>107</v>
      </c>
      <c r="D211" s="86">
        <v>40191740.939999998</v>
      </c>
      <c r="E211" s="88">
        <v>0</v>
      </c>
      <c r="F211" s="88">
        <v>0</v>
      </c>
      <c r="G211" s="88">
        <v>0</v>
      </c>
      <c r="H211" s="88">
        <v>0</v>
      </c>
      <c r="I211" s="147">
        <f t="shared" si="71"/>
        <v>40191740.939999998</v>
      </c>
      <c r="J211" s="88">
        <v>0</v>
      </c>
      <c r="K211" s="88">
        <v>0</v>
      </c>
      <c r="L211" s="88">
        <v>0</v>
      </c>
      <c r="M211" s="88">
        <v>0</v>
      </c>
      <c r="N211" s="88">
        <v>0</v>
      </c>
      <c r="O211" s="88">
        <v>0</v>
      </c>
      <c r="P211" s="88">
        <v>0</v>
      </c>
      <c r="Q211" s="88">
        <v>0</v>
      </c>
      <c r="R211" s="88">
        <v>0</v>
      </c>
      <c r="S211" s="88">
        <v>0</v>
      </c>
      <c r="T211" s="88">
        <v>0</v>
      </c>
      <c r="U211" s="88">
        <v>0</v>
      </c>
      <c r="V211" s="88">
        <v>0</v>
      </c>
      <c r="W211" s="149">
        <f t="shared" ref="W211:W245" si="72">I211-V211</f>
        <v>40191740.939999998</v>
      </c>
    </row>
    <row r="212" spans="1:23" ht="25.5" x14ac:dyDescent="0.2">
      <c r="A212" s="160">
        <v>1378</v>
      </c>
      <c r="B212" s="9" t="s">
        <v>282</v>
      </c>
      <c r="C212" s="8" t="s">
        <v>102</v>
      </c>
      <c r="D212" s="86">
        <v>187471482.06</v>
      </c>
      <c r="E212" s="88">
        <v>0</v>
      </c>
      <c r="F212" s="88">
        <v>0</v>
      </c>
      <c r="G212" s="88">
        <v>0</v>
      </c>
      <c r="H212" s="88">
        <v>0</v>
      </c>
      <c r="I212" s="147">
        <f t="shared" si="71"/>
        <v>187471482.06</v>
      </c>
      <c r="J212" s="88">
        <v>0</v>
      </c>
      <c r="K212" s="88">
        <v>0</v>
      </c>
      <c r="L212" s="88">
        <v>0</v>
      </c>
      <c r="M212" s="88">
        <v>0</v>
      </c>
      <c r="N212" s="88">
        <v>0</v>
      </c>
      <c r="O212" s="88">
        <v>0</v>
      </c>
      <c r="P212" s="88">
        <v>0</v>
      </c>
      <c r="Q212" s="88">
        <v>0</v>
      </c>
      <c r="R212" s="88">
        <v>0</v>
      </c>
      <c r="S212" s="88">
        <v>0</v>
      </c>
      <c r="T212" s="88">
        <v>0</v>
      </c>
      <c r="U212" s="88">
        <v>0</v>
      </c>
      <c r="V212" s="88">
        <v>0</v>
      </c>
      <c r="W212" s="149">
        <f t="shared" si="72"/>
        <v>187471482.06</v>
      </c>
    </row>
    <row r="213" spans="1:23" ht="25.5" x14ac:dyDescent="0.2">
      <c r="A213" s="160">
        <v>1379</v>
      </c>
      <c r="B213" s="9" t="s">
        <v>282</v>
      </c>
      <c r="C213" s="8" t="s">
        <v>102</v>
      </c>
      <c r="D213" s="86">
        <v>55605000</v>
      </c>
      <c r="E213" s="88">
        <v>0</v>
      </c>
      <c r="F213" s="88">
        <v>0</v>
      </c>
      <c r="G213" s="88">
        <v>0</v>
      </c>
      <c r="H213" s="88">
        <v>0</v>
      </c>
      <c r="I213" s="147">
        <f t="shared" si="71"/>
        <v>55605000</v>
      </c>
      <c r="J213" s="88">
        <v>0</v>
      </c>
      <c r="K213" s="88">
        <v>0</v>
      </c>
      <c r="L213" s="88">
        <v>0</v>
      </c>
      <c r="M213" s="88">
        <v>0</v>
      </c>
      <c r="N213" s="88">
        <v>0</v>
      </c>
      <c r="O213" s="88">
        <v>0</v>
      </c>
      <c r="P213" s="88">
        <v>0</v>
      </c>
      <c r="Q213" s="88">
        <v>0</v>
      </c>
      <c r="R213" s="88">
        <v>0</v>
      </c>
      <c r="S213" s="88">
        <v>0</v>
      </c>
      <c r="T213" s="88">
        <v>0</v>
      </c>
      <c r="U213" s="88">
        <v>0</v>
      </c>
      <c r="V213" s="88">
        <v>0</v>
      </c>
      <c r="W213" s="149">
        <f t="shared" si="72"/>
        <v>55605000</v>
      </c>
    </row>
    <row r="214" spans="1:23" ht="25.5" x14ac:dyDescent="0.2">
      <c r="A214" s="160">
        <v>1380</v>
      </c>
      <c r="B214" s="9" t="s">
        <v>282</v>
      </c>
      <c r="C214" s="8" t="s">
        <v>102</v>
      </c>
      <c r="D214" s="86">
        <v>25207523.140000001</v>
      </c>
      <c r="E214" s="88">
        <v>0</v>
      </c>
      <c r="F214" s="88">
        <v>0</v>
      </c>
      <c r="G214" s="88">
        <v>0</v>
      </c>
      <c r="H214" s="88">
        <v>0</v>
      </c>
      <c r="I214" s="147">
        <f t="shared" si="71"/>
        <v>25207523.140000001</v>
      </c>
      <c r="J214" s="88">
        <v>0</v>
      </c>
      <c r="K214" s="88">
        <v>0</v>
      </c>
      <c r="L214" s="88">
        <v>0</v>
      </c>
      <c r="M214" s="88">
        <v>0</v>
      </c>
      <c r="N214" s="88">
        <v>0</v>
      </c>
      <c r="O214" s="88">
        <v>0</v>
      </c>
      <c r="P214" s="88">
        <v>0</v>
      </c>
      <c r="Q214" s="88">
        <v>0</v>
      </c>
      <c r="R214" s="88">
        <v>0</v>
      </c>
      <c r="S214" s="88">
        <v>0</v>
      </c>
      <c r="T214" s="88">
        <v>0</v>
      </c>
      <c r="U214" s="88">
        <v>0</v>
      </c>
      <c r="V214" s="88">
        <v>0</v>
      </c>
      <c r="W214" s="149">
        <f t="shared" si="72"/>
        <v>25207523.140000001</v>
      </c>
    </row>
    <row r="215" spans="1:23" ht="25.5" x14ac:dyDescent="0.2">
      <c r="A215" s="160">
        <v>1382</v>
      </c>
      <c r="B215" s="9" t="s">
        <v>283</v>
      </c>
      <c r="C215" s="8" t="s">
        <v>107</v>
      </c>
      <c r="D215" s="86">
        <v>118892816.5</v>
      </c>
      <c r="E215" s="88">
        <v>0</v>
      </c>
      <c r="F215" s="88">
        <v>0</v>
      </c>
      <c r="G215" s="88">
        <v>0</v>
      </c>
      <c r="H215" s="88">
        <v>0</v>
      </c>
      <c r="I215" s="147">
        <f t="shared" si="71"/>
        <v>118892816.5</v>
      </c>
      <c r="J215" s="147">
        <v>0</v>
      </c>
      <c r="K215" s="147">
        <v>0</v>
      </c>
      <c r="L215" s="147">
        <v>0</v>
      </c>
      <c r="M215" s="147">
        <v>0</v>
      </c>
      <c r="N215" s="147">
        <v>0</v>
      </c>
      <c r="O215" s="147">
        <v>0</v>
      </c>
      <c r="P215" s="147">
        <v>0</v>
      </c>
      <c r="Q215" s="147">
        <v>0</v>
      </c>
      <c r="R215" s="147">
        <v>0</v>
      </c>
      <c r="S215" s="147">
        <v>0</v>
      </c>
      <c r="T215" s="147">
        <v>0</v>
      </c>
      <c r="U215" s="147">
        <v>0</v>
      </c>
      <c r="V215" s="147">
        <v>0</v>
      </c>
      <c r="W215" s="149">
        <f t="shared" si="72"/>
        <v>118892816.5</v>
      </c>
    </row>
    <row r="216" spans="1:23" x14ac:dyDescent="0.2">
      <c r="A216" s="160">
        <v>1386</v>
      </c>
      <c r="B216" s="9" t="s">
        <v>284</v>
      </c>
      <c r="C216" s="8" t="s">
        <v>107</v>
      </c>
      <c r="D216" s="86">
        <v>617431276.20000005</v>
      </c>
      <c r="E216" s="88">
        <v>0</v>
      </c>
      <c r="F216" s="88">
        <v>0</v>
      </c>
      <c r="G216" s="88">
        <v>0</v>
      </c>
      <c r="H216" s="88">
        <v>0</v>
      </c>
      <c r="I216" s="147">
        <f t="shared" si="71"/>
        <v>617431276.20000005</v>
      </c>
      <c r="J216" s="147">
        <v>0</v>
      </c>
      <c r="K216" s="147">
        <v>0</v>
      </c>
      <c r="L216" s="147">
        <v>0</v>
      </c>
      <c r="M216" s="147">
        <v>0</v>
      </c>
      <c r="N216" s="147">
        <v>0</v>
      </c>
      <c r="O216" s="147">
        <v>0</v>
      </c>
      <c r="P216" s="147">
        <v>0</v>
      </c>
      <c r="Q216" s="147">
        <v>0</v>
      </c>
      <c r="R216" s="147">
        <v>0</v>
      </c>
      <c r="S216" s="147">
        <v>0</v>
      </c>
      <c r="T216" s="147">
        <v>0</v>
      </c>
      <c r="U216" s="147">
        <v>0</v>
      </c>
      <c r="V216" s="147">
        <v>0</v>
      </c>
      <c r="W216" s="149">
        <f t="shared" si="72"/>
        <v>617431276.20000005</v>
      </c>
    </row>
    <row r="217" spans="1:23" x14ac:dyDescent="0.2">
      <c r="A217" s="160">
        <v>1389</v>
      </c>
      <c r="B217" s="9" t="s">
        <v>285</v>
      </c>
      <c r="C217" s="8" t="s">
        <v>107</v>
      </c>
      <c r="D217" s="86">
        <v>687385164.5</v>
      </c>
      <c r="E217" s="88">
        <v>0</v>
      </c>
      <c r="F217" s="88">
        <v>0</v>
      </c>
      <c r="G217" s="88">
        <v>0</v>
      </c>
      <c r="H217" s="88">
        <v>0</v>
      </c>
      <c r="I217" s="147">
        <f t="shared" si="71"/>
        <v>687385164.5</v>
      </c>
      <c r="J217" s="147">
        <v>0</v>
      </c>
      <c r="K217" s="147">
        <v>0</v>
      </c>
      <c r="L217" s="147">
        <v>0</v>
      </c>
      <c r="M217" s="147">
        <v>0</v>
      </c>
      <c r="N217" s="147">
        <v>0</v>
      </c>
      <c r="O217" s="147">
        <v>0</v>
      </c>
      <c r="P217" s="147">
        <v>0</v>
      </c>
      <c r="Q217" s="147">
        <v>0</v>
      </c>
      <c r="R217" s="147">
        <v>0</v>
      </c>
      <c r="S217" s="147">
        <v>0</v>
      </c>
      <c r="T217" s="147">
        <v>0</v>
      </c>
      <c r="U217" s="147">
        <v>0</v>
      </c>
      <c r="V217" s="147">
        <v>0</v>
      </c>
      <c r="W217" s="149">
        <f t="shared" si="72"/>
        <v>687385164.5</v>
      </c>
    </row>
    <row r="218" spans="1:23" ht="25.5" x14ac:dyDescent="0.2">
      <c r="A218" s="160">
        <v>1390</v>
      </c>
      <c r="B218" s="9" t="s">
        <v>286</v>
      </c>
      <c r="C218" s="8" t="s">
        <v>102</v>
      </c>
      <c r="D218" s="86">
        <v>58197097.799999997</v>
      </c>
      <c r="E218" s="88">
        <v>0</v>
      </c>
      <c r="F218" s="88">
        <v>0</v>
      </c>
      <c r="G218" s="88">
        <v>0</v>
      </c>
      <c r="H218" s="88">
        <v>0</v>
      </c>
      <c r="I218" s="147">
        <f t="shared" si="71"/>
        <v>58197097.799999997</v>
      </c>
      <c r="J218" s="147">
        <v>0</v>
      </c>
      <c r="K218" s="147">
        <v>0</v>
      </c>
      <c r="L218" s="147">
        <v>0</v>
      </c>
      <c r="M218" s="147">
        <v>0</v>
      </c>
      <c r="N218" s="147">
        <v>0</v>
      </c>
      <c r="O218" s="147">
        <v>0</v>
      </c>
      <c r="P218" s="147">
        <v>0</v>
      </c>
      <c r="Q218" s="147">
        <v>0</v>
      </c>
      <c r="R218" s="147">
        <v>0</v>
      </c>
      <c r="S218" s="147">
        <v>0</v>
      </c>
      <c r="T218" s="147">
        <v>0</v>
      </c>
      <c r="U218" s="147">
        <v>0</v>
      </c>
      <c r="V218" s="147">
        <v>0</v>
      </c>
      <c r="W218" s="149">
        <f t="shared" si="72"/>
        <v>58197097.799999997</v>
      </c>
    </row>
    <row r="219" spans="1:23" ht="25.5" x14ac:dyDescent="0.2">
      <c r="A219" s="160">
        <v>1391</v>
      </c>
      <c r="B219" s="9" t="s">
        <v>286</v>
      </c>
      <c r="C219" s="8" t="s">
        <v>102</v>
      </c>
      <c r="D219" s="86">
        <v>16920000</v>
      </c>
      <c r="E219" s="88">
        <v>0</v>
      </c>
      <c r="F219" s="88">
        <v>0</v>
      </c>
      <c r="G219" s="88">
        <v>0</v>
      </c>
      <c r="H219" s="147">
        <v>0</v>
      </c>
      <c r="I219" s="147">
        <f t="shared" si="71"/>
        <v>16920000</v>
      </c>
      <c r="J219" s="147">
        <v>0</v>
      </c>
      <c r="K219" s="147">
        <v>0</v>
      </c>
      <c r="L219" s="147">
        <v>0</v>
      </c>
      <c r="M219" s="147">
        <v>0</v>
      </c>
      <c r="N219" s="147">
        <v>0</v>
      </c>
      <c r="O219" s="147">
        <v>0</v>
      </c>
      <c r="P219" s="147">
        <v>0</v>
      </c>
      <c r="Q219" s="147">
        <v>0</v>
      </c>
      <c r="R219" s="147">
        <v>0</v>
      </c>
      <c r="S219" s="147">
        <v>0</v>
      </c>
      <c r="T219" s="147">
        <v>0</v>
      </c>
      <c r="U219" s="147">
        <v>0</v>
      </c>
      <c r="V219" s="147">
        <v>0</v>
      </c>
      <c r="W219" s="149">
        <f t="shared" si="72"/>
        <v>16920000</v>
      </c>
    </row>
    <row r="220" spans="1:23" x14ac:dyDescent="0.2">
      <c r="A220" s="160">
        <v>1395</v>
      </c>
      <c r="B220" s="9" t="s">
        <v>226</v>
      </c>
      <c r="C220" s="8" t="s">
        <v>107</v>
      </c>
      <c r="D220" s="86">
        <v>177439219.5</v>
      </c>
      <c r="E220" s="88">
        <v>0</v>
      </c>
      <c r="F220" s="88">
        <v>0</v>
      </c>
      <c r="G220" s="88">
        <v>0</v>
      </c>
      <c r="H220" s="88">
        <v>0</v>
      </c>
      <c r="I220" s="147">
        <f t="shared" si="71"/>
        <v>177439219.5</v>
      </c>
      <c r="J220" s="147">
        <v>0</v>
      </c>
      <c r="K220" s="147">
        <v>0</v>
      </c>
      <c r="L220" s="147">
        <v>0</v>
      </c>
      <c r="M220" s="147">
        <v>0</v>
      </c>
      <c r="N220" s="147">
        <v>0</v>
      </c>
      <c r="O220" s="147">
        <v>0</v>
      </c>
      <c r="P220" s="147">
        <v>0</v>
      </c>
      <c r="Q220" s="147">
        <v>0</v>
      </c>
      <c r="R220" s="147">
        <v>0</v>
      </c>
      <c r="S220" s="147">
        <v>0</v>
      </c>
      <c r="T220" s="147">
        <v>0</v>
      </c>
      <c r="U220" s="147">
        <v>0</v>
      </c>
      <c r="V220" s="147">
        <v>0</v>
      </c>
      <c r="W220" s="149">
        <f t="shared" si="72"/>
        <v>177439219.5</v>
      </c>
    </row>
    <row r="221" spans="1:23" ht="25.5" x14ac:dyDescent="0.2">
      <c r="A221" s="160">
        <v>1998</v>
      </c>
      <c r="B221" s="9" t="s">
        <v>278</v>
      </c>
      <c r="C221" s="8" t="s">
        <v>233</v>
      </c>
      <c r="D221" s="86">
        <v>13391333</v>
      </c>
      <c r="E221" s="88">
        <v>0</v>
      </c>
      <c r="F221" s="88">
        <v>0</v>
      </c>
      <c r="G221" s="88">
        <v>0</v>
      </c>
      <c r="H221" s="88">
        <v>0</v>
      </c>
      <c r="I221" s="147">
        <f t="shared" si="71"/>
        <v>13391333</v>
      </c>
      <c r="J221" s="147">
        <v>0</v>
      </c>
      <c r="K221" s="147">
        <v>0</v>
      </c>
      <c r="L221" s="147">
        <v>0</v>
      </c>
      <c r="M221" s="147">
        <v>0</v>
      </c>
      <c r="N221" s="147">
        <v>0</v>
      </c>
      <c r="O221" s="147">
        <v>0</v>
      </c>
      <c r="P221" s="147">
        <v>0</v>
      </c>
      <c r="Q221" s="147">
        <v>0</v>
      </c>
      <c r="R221" s="147">
        <v>0</v>
      </c>
      <c r="S221" s="147">
        <v>0</v>
      </c>
      <c r="T221" s="147">
        <v>0</v>
      </c>
      <c r="U221" s="147">
        <v>0</v>
      </c>
      <c r="V221" s="147">
        <v>0</v>
      </c>
      <c r="W221" s="149">
        <f t="shared" si="72"/>
        <v>13391333</v>
      </c>
    </row>
    <row r="222" spans="1:23" ht="25.5" x14ac:dyDescent="0.2">
      <c r="A222" s="160">
        <v>1427</v>
      </c>
      <c r="B222" s="9" t="s">
        <v>287</v>
      </c>
      <c r="C222" s="8" t="s">
        <v>249</v>
      </c>
      <c r="D222" s="86">
        <v>400061630</v>
      </c>
      <c r="E222" s="88">
        <v>0</v>
      </c>
      <c r="F222" s="88">
        <v>0</v>
      </c>
      <c r="G222" s="88">
        <v>0</v>
      </c>
      <c r="H222" s="88">
        <v>0</v>
      </c>
      <c r="I222" s="147">
        <f t="shared" si="71"/>
        <v>400061630</v>
      </c>
      <c r="J222" s="147">
        <v>0</v>
      </c>
      <c r="K222" s="147">
        <v>0</v>
      </c>
      <c r="L222" s="147">
        <v>0</v>
      </c>
      <c r="M222" s="147">
        <v>0</v>
      </c>
      <c r="N222" s="147">
        <v>0</v>
      </c>
      <c r="O222" s="147">
        <v>0</v>
      </c>
      <c r="P222" s="147">
        <v>0</v>
      </c>
      <c r="Q222" s="147">
        <v>0</v>
      </c>
      <c r="R222" s="147">
        <v>0</v>
      </c>
      <c r="S222" s="147">
        <v>0</v>
      </c>
      <c r="T222" s="147">
        <v>0</v>
      </c>
      <c r="U222" s="147">
        <v>0</v>
      </c>
      <c r="V222" s="147">
        <v>0</v>
      </c>
      <c r="W222" s="149">
        <f t="shared" si="72"/>
        <v>400061630</v>
      </c>
    </row>
    <row r="223" spans="1:23" x14ac:dyDescent="0.2">
      <c r="A223" s="160">
        <v>1490</v>
      </c>
      <c r="B223" s="9" t="s">
        <v>288</v>
      </c>
      <c r="C223" s="8" t="s">
        <v>249</v>
      </c>
      <c r="D223" s="86">
        <v>446387781.07999998</v>
      </c>
      <c r="E223" s="88">
        <v>0</v>
      </c>
      <c r="F223" s="88">
        <v>0</v>
      </c>
      <c r="G223" s="88">
        <v>0</v>
      </c>
      <c r="H223" s="88">
        <v>0</v>
      </c>
      <c r="I223" s="147">
        <f t="shared" si="71"/>
        <v>446387781.07999998</v>
      </c>
      <c r="J223" s="147"/>
      <c r="K223" s="147"/>
      <c r="L223" s="147"/>
      <c r="M223" s="147"/>
      <c r="N223" s="147"/>
      <c r="O223" s="147"/>
      <c r="P223" s="147"/>
      <c r="Q223" s="147"/>
      <c r="R223" s="147"/>
      <c r="S223" s="147"/>
      <c r="T223" s="147"/>
      <c r="U223" s="147"/>
      <c r="V223" s="147"/>
      <c r="W223" s="149">
        <f t="shared" si="72"/>
        <v>446387781.07999998</v>
      </c>
    </row>
    <row r="224" spans="1:23" ht="25.5" x14ac:dyDescent="0.2">
      <c r="A224" s="160">
        <v>1491</v>
      </c>
      <c r="B224" s="9" t="s">
        <v>289</v>
      </c>
      <c r="C224" s="8" t="s">
        <v>249</v>
      </c>
      <c r="D224" s="86">
        <v>307542504.55000001</v>
      </c>
      <c r="E224" s="88">
        <v>0</v>
      </c>
      <c r="F224" s="88">
        <v>0</v>
      </c>
      <c r="G224" s="88">
        <v>0</v>
      </c>
      <c r="H224" s="88">
        <v>0</v>
      </c>
      <c r="I224" s="147">
        <f t="shared" si="71"/>
        <v>307542504.55000001</v>
      </c>
      <c r="J224" s="147">
        <v>0</v>
      </c>
      <c r="K224" s="147">
        <v>0</v>
      </c>
      <c r="L224" s="147">
        <v>0</v>
      </c>
      <c r="M224" s="147">
        <v>0</v>
      </c>
      <c r="N224" s="147">
        <v>0</v>
      </c>
      <c r="O224" s="147">
        <v>0</v>
      </c>
      <c r="P224" s="147">
        <v>0</v>
      </c>
      <c r="Q224" s="147">
        <v>0</v>
      </c>
      <c r="R224" s="147">
        <v>0</v>
      </c>
      <c r="S224" s="147">
        <v>0</v>
      </c>
      <c r="T224" s="147">
        <v>0</v>
      </c>
      <c r="U224" s="147">
        <v>0</v>
      </c>
      <c r="V224" s="147">
        <v>0</v>
      </c>
      <c r="W224" s="149">
        <f t="shared" si="72"/>
        <v>307542504.55000001</v>
      </c>
    </row>
    <row r="225" spans="1:23" x14ac:dyDescent="0.2">
      <c r="A225" s="160">
        <v>1492</v>
      </c>
      <c r="B225" s="9" t="s">
        <v>290</v>
      </c>
      <c r="C225" s="8" t="s">
        <v>249</v>
      </c>
      <c r="D225" s="86">
        <v>42577668.369999997</v>
      </c>
      <c r="E225" s="88">
        <v>0</v>
      </c>
      <c r="F225" s="88">
        <v>0</v>
      </c>
      <c r="G225" s="88">
        <v>0</v>
      </c>
      <c r="H225" s="88">
        <v>0</v>
      </c>
      <c r="I225" s="147">
        <f t="shared" si="71"/>
        <v>42577668.369999997</v>
      </c>
      <c r="J225" s="147">
        <v>0</v>
      </c>
      <c r="K225" s="147">
        <v>0</v>
      </c>
      <c r="L225" s="147">
        <v>0</v>
      </c>
      <c r="M225" s="147">
        <v>0</v>
      </c>
      <c r="N225" s="147">
        <v>0</v>
      </c>
      <c r="O225" s="147">
        <v>0</v>
      </c>
      <c r="P225" s="147">
        <v>0</v>
      </c>
      <c r="Q225" s="147">
        <v>0</v>
      </c>
      <c r="R225" s="147">
        <v>0</v>
      </c>
      <c r="S225" s="147">
        <v>0</v>
      </c>
      <c r="T225" s="147">
        <v>0</v>
      </c>
      <c r="U225" s="147">
        <v>0</v>
      </c>
      <c r="V225" s="147">
        <v>0</v>
      </c>
      <c r="W225" s="149">
        <f t="shared" si="72"/>
        <v>42577668.369999997</v>
      </c>
    </row>
    <row r="226" spans="1:23" ht="25.5" x14ac:dyDescent="0.2">
      <c r="A226" s="160">
        <v>1493</v>
      </c>
      <c r="B226" s="9" t="s">
        <v>291</v>
      </c>
      <c r="C226" s="8" t="s">
        <v>249</v>
      </c>
      <c r="D226" s="86">
        <v>11682124</v>
      </c>
      <c r="E226" s="88">
        <v>0</v>
      </c>
      <c r="F226" s="88">
        <v>0</v>
      </c>
      <c r="G226" s="88">
        <v>0</v>
      </c>
      <c r="H226" s="88">
        <v>0</v>
      </c>
      <c r="I226" s="147">
        <f t="shared" si="71"/>
        <v>11682124</v>
      </c>
      <c r="J226" s="147">
        <v>0</v>
      </c>
      <c r="K226" s="147">
        <v>0</v>
      </c>
      <c r="L226" s="147">
        <v>0</v>
      </c>
      <c r="M226" s="147">
        <v>0</v>
      </c>
      <c r="N226" s="147">
        <v>0</v>
      </c>
      <c r="O226" s="147">
        <v>0</v>
      </c>
      <c r="P226" s="147">
        <v>0</v>
      </c>
      <c r="Q226" s="147">
        <v>0</v>
      </c>
      <c r="R226" s="147">
        <v>0</v>
      </c>
      <c r="S226" s="147">
        <v>0</v>
      </c>
      <c r="T226" s="147">
        <v>0</v>
      </c>
      <c r="U226" s="147">
        <v>0</v>
      </c>
      <c r="V226" s="147">
        <v>0</v>
      </c>
      <c r="W226" s="149">
        <f t="shared" si="72"/>
        <v>11682124</v>
      </c>
    </row>
    <row r="227" spans="1:23" ht="25.5" x14ac:dyDescent="0.2">
      <c r="A227" s="160">
        <v>1494</v>
      </c>
      <c r="B227" s="9" t="s">
        <v>221</v>
      </c>
      <c r="C227" s="8" t="s">
        <v>233</v>
      </c>
      <c r="D227" s="86">
        <v>41576193</v>
      </c>
      <c r="E227" s="88">
        <v>0</v>
      </c>
      <c r="F227" s="88">
        <v>0</v>
      </c>
      <c r="G227" s="88">
        <v>0</v>
      </c>
      <c r="H227" s="88">
        <v>0</v>
      </c>
      <c r="I227" s="147">
        <f t="shared" si="71"/>
        <v>41576193</v>
      </c>
      <c r="J227" s="147">
        <v>0</v>
      </c>
      <c r="K227" s="147">
        <v>0</v>
      </c>
      <c r="L227" s="147">
        <v>0</v>
      </c>
      <c r="M227" s="147">
        <v>0</v>
      </c>
      <c r="N227" s="147">
        <v>0</v>
      </c>
      <c r="O227" s="147">
        <v>0</v>
      </c>
      <c r="P227" s="147">
        <v>0</v>
      </c>
      <c r="Q227" s="147">
        <v>0</v>
      </c>
      <c r="R227" s="147">
        <v>0</v>
      </c>
      <c r="S227" s="147">
        <v>0</v>
      </c>
      <c r="T227" s="147">
        <v>0</v>
      </c>
      <c r="U227" s="147">
        <v>0</v>
      </c>
      <c r="V227" s="147">
        <v>0</v>
      </c>
      <c r="W227" s="149">
        <f t="shared" si="72"/>
        <v>41576193</v>
      </c>
    </row>
    <row r="228" spans="1:23" ht="25.5" x14ac:dyDescent="0.2">
      <c r="A228" s="160">
        <v>1495</v>
      </c>
      <c r="B228" s="9" t="s">
        <v>156</v>
      </c>
      <c r="C228" s="8" t="s">
        <v>233</v>
      </c>
      <c r="D228" s="86">
        <v>4849661</v>
      </c>
      <c r="E228" s="88">
        <v>0</v>
      </c>
      <c r="F228" s="88">
        <v>0</v>
      </c>
      <c r="G228" s="88">
        <v>0</v>
      </c>
      <c r="H228" s="88">
        <v>0</v>
      </c>
      <c r="I228" s="147">
        <f t="shared" si="71"/>
        <v>4849661</v>
      </c>
      <c r="J228" s="147">
        <v>0</v>
      </c>
      <c r="K228" s="147">
        <v>0</v>
      </c>
      <c r="L228" s="147">
        <v>0</v>
      </c>
      <c r="M228" s="147">
        <v>0</v>
      </c>
      <c r="N228" s="147">
        <v>0</v>
      </c>
      <c r="O228" s="147">
        <v>0</v>
      </c>
      <c r="P228" s="147">
        <v>0</v>
      </c>
      <c r="Q228" s="147">
        <v>0</v>
      </c>
      <c r="R228" s="147">
        <v>0</v>
      </c>
      <c r="S228" s="147">
        <v>0</v>
      </c>
      <c r="T228" s="147">
        <v>0</v>
      </c>
      <c r="U228" s="147">
        <v>0</v>
      </c>
      <c r="V228" s="147">
        <v>0</v>
      </c>
      <c r="W228" s="149">
        <f t="shared" si="72"/>
        <v>4849661</v>
      </c>
    </row>
    <row r="229" spans="1:23" x14ac:dyDescent="0.2">
      <c r="A229" s="160">
        <v>1519</v>
      </c>
      <c r="B229" s="9" t="s">
        <v>147</v>
      </c>
      <c r="C229" s="8" t="s">
        <v>249</v>
      </c>
      <c r="D229" s="86">
        <v>2358475.7000000002</v>
      </c>
      <c r="E229" s="88">
        <v>0</v>
      </c>
      <c r="F229" s="88">
        <v>0</v>
      </c>
      <c r="G229" s="88">
        <v>0</v>
      </c>
      <c r="H229" s="88">
        <v>0</v>
      </c>
      <c r="I229" s="147">
        <f t="shared" si="71"/>
        <v>2358475.7000000002</v>
      </c>
      <c r="J229" s="147">
        <v>0</v>
      </c>
      <c r="K229" s="147">
        <v>0</v>
      </c>
      <c r="L229" s="147">
        <v>0</v>
      </c>
      <c r="M229" s="147">
        <v>0</v>
      </c>
      <c r="N229" s="147">
        <v>0</v>
      </c>
      <c r="O229" s="147">
        <v>0</v>
      </c>
      <c r="P229" s="147">
        <v>0</v>
      </c>
      <c r="Q229" s="147">
        <v>0</v>
      </c>
      <c r="R229" s="147">
        <v>0</v>
      </c>
      <c r="S229" s="147">
        <v>0</v>
      </c>
      <c r="T229" s="147">
        <v>0</v>
      </c>
      <c r="U229" s="147">
        <v>0</v>
      </c>
      <c r="V229" s="147">
        <v>0</v>
      </c>
      <c r="W229" s="149">
        <f t="shared" si="72"/>
        <v>2358475.7000000002</v>
      </c>
    </row>
    <row r="230" spans="1:23" x14ac:dyDescent="0.2">
      <c r="A230" s="160">
        <v>1520</v>
      </c>
      <c r="B230" s="9" t="s">
        <v>147</v>
      </c>
      <c r="C230" s="8" t="s">
        <v>249</v>
      </c>
      <c r="D230" s="86">
        <v>2758493</v>
      </c>
      <c r="E230" s="88">
        <v>0</v>
      </c>
      <c r="F230" s="88">
        <v>0</v>
      </c>
      <c r="G230" s="88">
        <v>0</v>
      </c>
      <c r="H230" s="88">
        <v>0</v>
      </c>
      <c r="I230" s="147">
        <f t="shared" si="71"/>
        <v>2758493</v>
      </c>
      <c r="J230" s="147">
        <v>0</v>
      </c>
      <c r="K230" s="147">
        <v>0</v>
      </c>
      <c r="L230" s="147">
        <v>0</v>
      </c>
      <c r="M230" s="147">
        <v>0</v>
      </c>
      <c r="N230" s="147">
        <v>0</v>
      </c>
      <c r="O230" s="147">
        <v>0</v>
      </c>
      <c r="P230" s="147">
        <v>0</v>
      </c>
      <c r="Q230" s="147">
        <v>0</v>
      </c>
      <c r="R230" s="147">
        <v>0</v>
      </c>
      <c r="S230" s="147">
        <v>0</v>
      </c>
      <c r="T230" s="147">
        <v>0</v>
      </c>
      <c r="U230" s="147">
        <v>0</v>
      </c>
      <c r="V230" s="147">
        <v>0</v>
      </c>
      <c r="W230" s="149">
        <f t="shared" si="72"/>
        <v>2758493</v>
      </c>
    </row>
    <row r="231" spans="1:23" x14ac:dyDescent="0.2">
      <c r="A231" s="160">
        <v>1522</v>
      </c>
      <c r="B231" s="9" t="s">
        <v>147</v>
      </c>
      <c r="C231" s="8" t="s">
        <v>249</v>
      </c>
      <c r="D231" s="86">
        <v>3526900</v>
      </c>
      <c r="E231" s="88">
        <v>0</v>
      </c>
      <c r="F231" s="88">
        <v>0</v>
      </c>
      <c r="G231" s="88">
        <v>0</v>
      </c>
      <c r="H231" s="88">
        <v>0</v>
      </c>
      <c r="I231" s="147">
        <f t="shared" si="71"/>
        <v>3526900</v>
      </c>
      <c r="J231" s="147">
        <v>0</v>
      </c>
      <c r="K231" s="147">
        <v>0</v>
      </c>
      <c r="L231" s="147">
        <v>0</v>
      </c>
      <c r="M231" s="147">
        <v>0</v>
      </c>
      <c r="N231" s="147">
        <v>0</v>
      </c>
      <c r="O231" s="147">
        <v>0</v>
      </c>
      <c r="P231" s="147">
        <v>0</v>
      </c>
      <c r="Q231" s="147">
        <v>0</v>
      </c>
      <c r="R231" s="147">
        <v>0</v>
      </c>
      <c r="S231" s="147">
        <v>0</v>
      </c>
      <c r="T231" s="147">
        <v>0</v>
      </c>
      <c r="U231" s="147">
        <v>0</v>
      </c>
      <c r="V231" s="147">
        <v>0</v>
      </c>
      <c r="W231" s="149">
        <f t="shared" si="72"/>
        <v>3526900</v>
      </c>
    </row>
    <row r="232" spans="1:23" ht="25.5" x14ac:dyDescent="0.2">
      <c r="A232" s="160">
        <v>1618</v>
      </c>
      <c r="B232" s="9" t="s">
        <v>277</v>
      </c>
      <c r="C232" s="8" t="s">
        <v>249</v>
      </c>
      <c r="D232" s="86">
        <v>44536688</v>
      </c>
      <c r="E232" s="88">
        <v>0</v>
      </c>
      <c r="F232" s="88">
        <v>0</v>
      </c>
      <c r="G232" s="88">
        <v>0</v>
      </c>
      <c r="H232" s="88">
        <v>0</v>
      </c>
      <c r="I232" s="147">
        <f t="shared" si="71"/>
        <v>44536688</v>
      </c>
      <c r="J232" s="147">
        <v>0</v>
      </c>
      <c r="K232" s="147">
        <v>0</v>
      </c>
      <c r="L232" s="147">
        <v>0</v>
      </c>
      <c r="M232" s="147">
        <v>0</v>
      </c>
      <c r="N232" s="147">
        <v>0</v>
      </c>
      <c r="O232" s="147">
        <v>0</v>
      </c>
      <c r="P232" s="147">
        <v>0</v>
      </c>
      <c r="Q232" s="147">
        <v>0</v>
      </c>
      <c r="R232" s="147">
        <v>0</v>
      </c>
      <c r="S232" s="147">
        <v>0</v>
      </c>
      <c r="T232" s="147">
        <v>0</v>
      </c>
      <c r="U232" s="147">
        <v>0</v>
      </c>
      <c r="V232" s="147">
        <v>0</v>
      </c>
      <c r="W232" s="149">
        <f t="shared" si="72"/>
        <v>44536688</v>
      </c>
    </row>
    <row r="233" spans="1:23" ht="25.5" x14ac:dyDescent="0.2">
      <c r="A233" s="160">
        <v>1619</v>
      </c>
      <c r="B233" s="9" t="s">
        <v>277</v>
      </c>
      <c r="C233" s="8" t="s">
        <v>249</v>
      </c>
      <c r="D233" s="86">
        <v>19868612.5</v>
      </c>
      <c r="E233" s="88">
        <v>0</v>
      </c>
      <c r="F233" s="88">
        <v>0</v>
      </c>
      <c r="G233" s="88">
        <v>0</v>
      </c>
      <c r="H233" s="88">
        <v>0</v>
      </c>
      <c r="I233" s="147">
        <f t="shared" si="71"/>
        <v>19868612.5</v>
      </c>
      <c r="J233" s="147">
        <v>0</v>
      </c>
      <c r="K233" s="147">
        <v>0</v>
      </c>
      <c r="L233" s="147">
        <v>0</v>
      </c>
      <c r="M233" s="147">
        <v>0</v>
      </c>
      <c r="N233" s="147">
        <v>0</v>
      </c>
      <c r="O233" s="147">
        <v>0</v>
      </c>
      <c r="P233" s="147">
        <v>0</v>
      </c>
      <c r="Q233" s="147">
        <v>0</v>
      </c>
      <c r="R233" s="147">
        <v>0</v>
      </c>
      <c r="S233" s="147">
        <v>0</v>
      </c>
      <c r="T233" s="147">
        <v>0</v>
      </c>
      <c r="U233" s="147">
        <v>0</v>
      </c>
      <c r="V233" s="147">
        <v>0</v>
      </c>
      <c r="W233" s="149">
        <f t="shared" si="72"/>
        <v>19868612.5</v>
      </c>
    </row>
    <row r="234" spans="1:23" ht="25.5" x14ac:dyDescent="0.2">
      <c r="A234" s="160">
        <v>1620</v>
      </c>
      <c r="B234" s="9" t="s">
        <v>277</v>
      </c>
      <c r="C234" s="8" t="s">
        <v>249</v>
      </c>
      <c r="D234" s="86">
        <v>30401355.5</v>
      </c>
      <c r="E234" s="88">
        <v>0</v>
      </c>
      <c r="F234" s="88">
        <v>0</v>
      </c>
      <c r="G234" s="88">
        <v>0</v>
      </c>
      <c r="H234" s="88">
        <v>0</v>
      </c>
      <c r="I234" s="147">
        <f t="shared" si="71"/>
        <v>30401355.5</v>
      </c>
      <c r="J234" s="147">
        <v>0</v>
      </c>
      <c r="K234" s="147">
        <v>0</v>
      </c>
      <c r="L234" s="147">
        <v>0</v>
      </c>
      <c r="M234" s="147">
        <v>0</v>
      </c>
      <c r="N234" s="147">
        <v>0</v>
      </c>
      <c r="O234" s="147">
        <v>0</v>
      </c>
      <c r="P234" s="147">
        <v>0</v>
      </c>
      <c r="Q234" s="147">
        <v>0</v>
      </c>
      <c r="R234" s="147">
        <v>0</v>
      </c>
      <c r="S234" s="147">
        <v>0</v>
      </c>
      <c r="T234" s="147">
        <v>0</v>
      </c>
      <c r="U234" s="147">
        <v>0</v>
      </c>
      <c r="V234" s="147">
        <v>0</v>
      </c>
      <c r="W234" s="149">
        <f t="shared" si="72"/>
        <v>30401355.5</v>
      </c>
    </row>
    <row r="235" spans="1:23" ht="25.5" x14ac:dyDescent="0.2">
      <c r="A235" s="160">
        <v>1651</v>
      </c>
      <c r="B235" s="9" t="s">
        <v>292</v>
      </c>
      <c r="C235" s="8" t="s">
        <v>253</v>
      </c>
      <c r="D235" s="147">
        <v>11310000</v>
      </c>
      <c r="E235" s="88">
        <v>0</v>
      </c>
      <c r="F235" s="88">
        <v>0</v>
      </c>
      <c r="G235" s="88">
        <v>0</v>
      </c>
      <c r="H235" s="88">
        <v>0</v>
      </c>
      <c r="I235" s="147">
        <f t="shared" si="71"/>
        <v>11310000</v>
      </c>
      <c r="J235" s="147">
        <v>0</v>
      </c>
      <c r="K235" s="147">
        <v>0</v>
      </c>
      <c r="L235" s="147">
        <v>0</v>
      </c>
      <c r="M235" s="147">
        <v>0</v>
      </c>
      <c r="N235" s="147">
        <v>0</v>
      </c>
      <c r="O235" s="147">
        <v>0</v>
      </c>
      <c r="P235" s="147">
        <v>0</v>
      </c>
      <c r="Q235" s="147">
        <v>0</v>
      </c>
      <c r="R235" s="147">
        <v>0</v>
      </c>
      <c r="S235" s="147">
        <v>0</v>
      </c>
      <c r="T235" s="147">
        <v>0</v>
      </c>
      <c r="U235" s="147">
        <v>0</v>
      </c>
      <c r="V235" s="147">
        <v>0</v>
      </c>
      <c r="W235" s="149">
        <f t="shared" si="72"/>
        <v>11310000</v>
      </c>
    </row>
    <row r="236" spans="1:23" ht="25.5" x14ac:dyDescent="0.2">
      <c r="A236" s="160">
        <v>1652</v>
      </c>
      <c r="B236" s="9" t="s">
        <v>292</v>
      </c>
      <c r="C236" s="8" t="s">
        <v>253</v>
      </c>
      <c r="D236" s="147">
        <v>9000000</v>
      </c>
      <c r="E236" s="88">
        <v>0</v>
      </c>
      <c r="F236" s="88">
        <v>0</v>
      </c>
      <c r="G236" s="88">
        <v>0</v>
      </c>
      <c r="H236" s="88">
        <v>0</v>
      </c>
      <c r="I236" s="147">
        <f t="shared" si="71"/>
        <v>9000000</v>
      </c>
      <c r="J236" s="147">
        <v>0</v>
      </c>
      <c r="K236" s="147">
        <v>0</v>
      </c>
      <c r="L236" s="147">
        <v>0</v>
      </c>
      <c r="M236" s="147">
        <v>0</v>
      </c>
      <c r="N236" s="147">
        <v>0</v>
      </c>
      <c r="O236" s="147">
        <v>0</v>
      </c>
      <c r="P236" s="147">
        <v>0</v>
      </c>
      <c r="Q236" s="147">
        <v>0</v>
      </c>
      <c r="R236" s="147">
        <v>0</v>
      </c>
      <c r="S236" s="147">
        <v>0</v>
      </c>
      <c r="T236" s="147">
        <v>0</v>
      </c>
      <c r="U236" s="147">
        <v>0</v>
      </c>
      <c r="V236" s="147">
        <v>0</v>
      </c>
      <c r="W236" s="149">
        <f t="shared" si="72"/>
        <v>9000000</v>
      </c>
    </row>
    <row r="237" spans="1:23" x14ac:dyDescent="0.2">
      <c r="A237" s="160">
        <v>1653</v>
      </c>
      <c r="B237" s="9" t="s">
        <v>250</v>
      </c>
      <c r="C237" s="8" t="s">
        <v>249</v>
      </c>
      <c r="D237" s="147">
        <v>430000000</v>
      </c>
      <c r="E237" s="88">
        <v>0</v>
      </c>
      <c r="F237" s="88">
        <v>0</v>
      </c>
      <c r="G237" s="88">
        <v>0</v>
      </c>
      <c r="H237" s="88">
        <v>0</v>
      </c>
      <c r="I237" s="147">
        <f t="shared" si="71"/>
        <v>430000000</v>
      </c>
      <c r="J237" s="147">
        <v>0</v>
      </c>
      <c r="K237" s="147">
        <v>0</v>
      </c>
      <c r="L237" s="147">
        <v>0</v>
      </c>
      <c r="M237" s="147">
        <v>0</v>
      </c>
      <c r="N237" s="147">
        <v>0</v>
      </c>
      <c r="O237" s="147">
        <v>0</v>
      </c>
      <c r="P237" s="147">
        <v>0</v>
      </c>
      <c r="Q237" s="147">
        <v>0</v>
      </c>
      <c r="R237" s="147">
        <v>0</v>
      </c>
      <c r="S237" s="147">
        <v>0</v>
      </c>
      <c r="T237" s="147">
        <v>0</v>
      </c>
      <c r="U237" s="147">
        <v>0</v>
      </c>
      <c r="V237" s="147">
        <v>0</v>
      </c>
      <c r="W237" s="149">
        <f t="shared" si="72"/>
        <v>430000000</v>
      </c>
    </row>
    <row r="238" spans="1:23" x14ac:dyDescent="0.2">
      <c r="A238" s="160">
        <v>1654</v>
      </c>
      <c r="B238" s="9" t="s">
        <v>250</v>
      </c>
      <c r="C238" s="8" t="s">
        <v>249</v>
      </c>
      <c r="D238" s="147">
        <v>112853870.7</v>
      </c>
      <c r="E238" s="88">
        <v>0</v>
      </c>
      <c r="F238" s="88">
        <v>0</v>
      </c>
      <c r="G238" s="88">
        <v>0</v>
      </c>
      <c r="H238" s="88">
        <v>0</v>
      </c>
      <c r="I238" s="147">
        <f t="shared" si="71"/>
        <v>112853870.7</v>
      </c>
      <c r="J238" s="147">
        <v>0</v>
      </c>
      <c r="K238" s="147">
        <v>0</v>
      </c>
      <c r="L238" s="147">
        <v>0</v>
      </c>
      <c r="M238" s="147">
        <v>0</v>
      </c>
      <c r="N238" s="147">
        <v>0</v>
      </c>
      <c r="O238" s="147">
        <v>0</v>
      </c>
      <c r="P238" s="147">
        <v>0</v>
      </c>
      <c r="Q238" s="147">
        <v>0</v>
      </c>
      <c r="R238" s="147">
        <v>0</v>
      </c>
      <c r="S238" s="147">
        <v>0</v>
      </c>
      <c r="T238" s="147">
        <v>0</v>
      </c>
      <c r="U238" s="147">
        <v>0</v>
      </c>
      <c r="V238" s="147">
        <v>0</v>
      </c>
      <c r="W238" s="149">
        <f t="shared" si="72"/>
        <v>112853870.7</v>
      </c>
    </row>
    <row r="239" spans="1:23" ht="25.5" x14ac:dyDescent="0.2">
      <c r="A239" s="160">
        <v>1655</v>
      </c>
      <c r="B239" s="9" t="s">
        <v>293</v>
      </c>
      <c r="C239" s="8" t="s">
        <v>249</v>
      </c>
      <c r="D239" s="147">
        <v>45470481.369999997</v>
      </c>
      <c r="E239" s="88">
        <v>0</v>
      </c>
      <c r="F239" s="88">
        <v>0</v>
      </c>
      <c r="G239" s="88">
        <v>0</v>
      </c>
      <c r="H239" s="88">
        <v>0</v>
      </c>
      <c r="I239" s="147">
        <f t="shared" si="71"/>
        <v>45470481.369999997</v>
      </c>
      <c r="J239" s="147">
        <v>0</v>
      </c>
      <c r="K239" s="147">
        <v>0</v>
      </c>
      <c r="L239" s="147">
        <v>0</v>
      </c>
      <c r="M239" s="147">
        <v>0</v>
      </c>
      <c r="N239" s="147">
        <v>0</v>
      </c>
      <c r="O239" s="147">
        <v>0</v>
      </c>
      <c r="P239" s="147">
        <v>0</v>
      </c>
      <c r="Q239" s="147">
        <v>0</v>
      </c>
      <c r="R239" s="147">
        <v>0</v>
      </c>
      <c r="S239" s="147">
        <v>0</v>
      </c>
      <c r="T239" s="147">
        <v>0</v>
      </c>
      <c r="U239" s="147">
        <v>0</v>
      </c>
      <c r="V239" s="147">
        <v>0</v>
      </c>
      <c r="W239" s="149">
        <f t="shared" si="72"/>
        <v>45470481.369999997</v>
      </c>
    </row>
    <row r="240" spans="1:23" x14ac:dyDescent="0.2">
      <c r="A240" s="160">
        <v>1656</v>
      </c>
      <c r="B240" s="9" t="s">
        <v>294</v>
      </c>
      <c r="C240" s="8" t="s">
        <v>249</v>
      </c>
      <c r="D240" s="147">
        <v>1003491500</v>
      </c>
      <c r="E240" s="88">
        <v>0</v>
      </c>
      <c r="F240" s="88">
        <v>0</v>
      </c>
      <c r="G240" s="88">
        <v>0</v>
      </c>
      <c r="H240" s="88">
        <v>0</v>
      </c>
      <c r="I240" s="147">
        <f t="shared" si="71"/>
        <v>1003491500</v>
      </c>
      <c r="J240" s="147">
        <v>0</v>
      </c>
      <c r="K240" s="147">
        <v>0</v>
      </c>
      <c r="L240" s="147">
        <v>0</v>
      </c>
      <c r="M240" s="147">
        <v>0</v>
      </c>
      <c r="N240" s="147">
        <v>0</v>
      </c>
      <c r="O240" s="147">
        <v>0</v>
      </c>
      <c r="P240" s="147">
        <v>0</v>
      </c>
      <c r="Q240" s="147">
        <v>0</v>
      </c>
      <c r="R240" s="147">
        <v>0</v>
      </c>
      <c r="S240" s="147">
        <v>0</v>
      </c>
      <c r="T240" s="147">
        <v>0</v>
      </c>
      <c r="U240" s="147">
        <v>0</v>
      </c>
      <c r="V240" s="147">
        <v>0</v>
      </c>
      <c r="W240" s="149">
        <f t="shared" si="72"/>
        <v>1003491500</v>
      </c>
    </row>
    <row r="241" spans="1:66" x14ac:dyDescent="0.2">
      <c r="A241" s="160">
        <v>1657</v>
      </c>
      <c r="B241" s="9" t="s">
        <v>251</v>
      </c>
      <c r="C241" s="8" t="s">
        <v>107</v>
      </c>
      <c r="D241" s="147">
        <v>137846830</v>
      </c>
      <c r="E241" s="88">
        <v>0</v>
      </c>
      <c r="F241" s="88">
        <v>0</v>
      </c>
      <c r="G241" s="88">
        <v>0</v>
      </c>
      <c r="H241" s="88">
        <v>0</v>
      </c>
      <c r="I241" s="147">
        <f t="shared" si="71"/>
        <v>137846830</v>
      </c>
      <c r="J241" s="147">
        <v>0</v>
      </c>
      <c r="K241" s="147">
        <v>0</v>
      </c>
      <c r="L241" s="147">
        <v>0</v>
      </c>
      <c r="M241" s="147">
        <v>0</v>
      </c>
      <c r="N241" s="147">
        <v>0</v>
      </c>
      <c r="O241" s="147">
        <v>0</v>
      </c>
      <c r="P241" s="147">
        <v>0</v>
      </c>
      <c r="Q241" s="147">
        <v>0</v>
      </c>
      <c r="R241" s="147">
        <v>0</v>
      </c>
      <c r="S241" s="147">
        <v>0</v>
      </c>
      <c r="T241" s="147">
        <v>0</v>
      </c>
      <c r="U241" s="147">
        <v>0</v>
      </c>
      <c r="V241" s="147">
        <v>0</v>
      </c>
      <c r="W241" s="149">
        <f t="shared" si="72"/>
        <v>137846830</v>
      </c>
    </row>
    <row r="242" spans="1:66" ht="25.5" x14ac:dyDescent="0.2">
      <c r="A242" s="160">
        <v>1658</v>
      </c>
      <c r="B242" s="9" t="s">
        <v>252</v>
      </c>
      <c r="C242" s="8" t="s">
        <v>253</v>
      </c>
      <c r="D242" s="147">
        <v>116106151</v>
      </c>
      <c r="E242" s="88">
        <v>0</v>
      </c>
      <c r="F242" s="88">
        <v>0</v>
      </c>
      <c r="G242" s="88">
        <v>0</v>
      </c>
      <c r="H242" s="88">
        <v>0</v>
      </c>
      <c r="I242" s="147">
        <f t="shared" si="71"/>
        <v>116106151</v>
      </c>
      <c r="J242" s="147">
        <v>0</v>
      </c>
      <c r="K242" s="147">
        <v>0</v>
      </c>
      <c r="L242" s="147">
        <v>0</v>
      </c>
      <c r="M242" s="147">
        <v>0</v>
      </c>
      <c r="N242" s="147">
        <v>0</v>
      </c>
      <c r="O242" s="147">
        <v>0</v>
      </c>
      <c r="P242" s="147">
        <v>0</v>
      </c>
      <c r="Q242" s="147">
        <v>0</v>
      </c>
      <c r="R242" s="147">
        <v>0</v>
      </c>
      <c r="S242" s="147">
        <v>0</v>
      </c>
      <c r="T242" s="147">
        <v>0</v>
      </c>
      <c r="U242" s="147">
        <v>0</v>
      </c>
      <c r="V242" s="147">
        <v>0</v>
      </c>
      <c r="W242" s="149">
        <f t="shared" si="72"/>
        <v>116106151</v>
      </c>
    </row>
    <row r="243" spans="1:66" ht="25.5" x14ac:dyDescent="0.2">
      <c r="A243" s="160">
        <v>1659</v>
      </c>
      <c r="B243" s="9" t="s">
        <v>292</v>
      </c>
      <c r="C243" s="8" t="s">
        <v>253</v>
      </c>
      <c r="D243" s="147">
        <v>1299384.24</v>
      </c>
      <c r="E243" s="88">
        <v>0</v>
      </c>
      <c r="F243" s="88">
        <v>0</v>
      </c>
      <c r="G243" s="88">
        <v>0</v>
      </c>
      <c r="H243" s="88">
        <v>0</v>
      </c>
      <c r="I243" s="147">
        <f t="shared" si="71"/>
        <v>1299384.24</v>
      </c>
      <c r="J243" s="147">
        <v>0</v>
      </c>
      <c r="K243" s="147">
        <v>0</v>
      </c>
      <c r="L243" s="147">
        <v>0</v>
      </c>
      <c r="M243" s="147">
        <v>0</v>
      </c>
      <c r="N243" s="147">
        <v>0</v>
      </c>
      <c r="O243" s="147">
        <v>0</v>
      </c>
      <c r="P243" s="147">
        <v>0</v>
      </c>
      <c r="Q243" s="147">
        <v>0</v>
      </c>
      <c r="R243" s="147">
        <v>0</v>
      </c>
      <c r="S243" s="147">
        <v>0</v>
      </c>
      <c r="T243" s="147">
        <v>0</v>
      </c>
      <c r="U243" s="147">
        <v>0</v>
      </c>
      <c r="V243" s="147">
        <v>0</v>
      </c>
      <c r="W243" s="149">
        <f t="shared" si="72"/>
        <v>1299384.24</v>
      </c>
    </row>
    <row r="244" spans="1:66" x14ac:dyDescent="0.2">
      <c r="A244" s="160">
        <v>1661</v>
      </c>
      <c r="B244" s="9" t="s">
        <v>295</v>
      </c>
      <c r="C244" s="8" t="s">
        <v>249</v>
      </c>
      <c r="D244" s="86">
        <v>149999926</v>
      </c>
      <c r="E244" s="88">
        <v>0</v>
      </c>
      <c r="F244" s="88">
        <v>0</v>
      </c>
      <c r="G244" s="88">
        <v>0</v>
      </c>
      <c r="H244" s="88">
        <v>0</v>
      </c>
      <c r="I244" s="147">
        <f t="shared" si="71"/>
        <v>149999926</v>
      </c>
      <c r="J244" s="147">
        <v>0</v>
      </c>
      <c r="K244" s="147">
        <v>0</v>
      </c>
      <c r="L244" s="147">
        <v>0</v>
      </c>
      <c r="M244" s="147">
        <v>0</v>
      </c>
      <c r="N244" s="147">
        <v>0</v>
      </c>
      <c r="O244" s="147">
        <v>0</v>
      </c>
      <c r="P244" s="147">
        <v>0</v>
      </c>
      <c r="Q244" s="147">
        <v>0</v>
      </c>
      <c r="R244" s="147">
        <v>0</v>
      </c>
      <c r="S244" s="147">
        <v>0</v>
      </c>
      <c r="T244" s="147">
        <v>0</v>
      </c>
      <c r="U244" s="147">
        <v>0</v>
      </c>
      <c r="V244" s="147">
        <v>0</v>
      </c>
      <c r="W244" s="149">
        <f t="shared" si="72"/>
        <v>149999926</v>
      </c>
    </row>
    <row r="245" spans="1:66" x14ac:dyDescent="0.2">
      <c r="A245" s="160">
        <v>1664</v>
      </c>
      <c r="B245" s="9" t="s">
        <v>296</v>
      </c>
      <c r="C245" s="8" t="s">
        <v>249</v>
      </c>
      <c r="D245" s="86">
        <v>2225223401</v>
      </c>
      <c r="E245" s="88">
        <v>0</v>
      </c>
      <c r="F245" s="88">
        <v>0</v>
      </c>
      <c r="G245" s="88">
        <v>0</v>
      </c>
      <c r="H245" s="88">
        <v>0</v>
      </c>
      <c r="I245" s="147">
        <f t="shared" si="71"/>
        <v>2225223401</v>
      </c>
      <c r="J245" s="147"/>
      <c r="K245" s="147"/>
      <c r="L245" s="147"/>
      <c r="M245" s="147"/>
      <c r="N245" s="147"/>
      <c r="O245" s="147"/>
      <c r="P245" s="147"/>
      <c r="Q245" s="147"/>
      <c r="R245" s="147"/>
      <c r="S245" s="147"/>
      <c r="T245" s="147"/>
      <c r="U245" s="147"/>
      <c r="V245" s="147"/>
      <c r="W245" s="149">
        <f t="shared" si="72"/>
        <v>2225223401</v>
      </c>
    </row>
    <row r="246" spans="1:66" s="32" customFormat="1" x14ac:dyDescent="0.2">
      <c r="A246" s="160"/>
      <c r="B246" s="33">
        <v>3</v>
      </c>
      <c r="C246" s="179" t="s">
        <v>46</v>
      </c>
      <c r="D246" s="87">
        <f>+D247+D249</f>
        <v>240173843.73000002</v>
      </c>
      <c r="E246" s="86">
        <v>0</v>
      </c>
      <c r="F246" s="86">
        <v>0</v>
      </c>
      <c r="G246" s="86">
        <v>0</v>
      </c>
      <c r="H246" s="86">
        <v>0</v>
      </c>
      <c r="I246" s="87">
        <f>+I247+I249</f>
        <v>240173843.73000002</v>
      </c>
      <c r="J246" s="73">
        <f>J247</f>
        <v>0</v>
      </c>
      <c r="K246" s="73">
        <f t="shared" ref="K246:V247" si="73">K247</f>
        <v>0</v>
      </c>
      <c r="L246" s="73">
        <f t="shared" si="73"/>
        <v>0</v>
      </c>
      <c r="M246" s="73">
        <f t="shared" si="73"/>
        <v>0</v>
      </c>
      <c r="N246" s="73">
        <f t="shared" si="73"/>
        <v>0</v>
      </c>
      <c r="O246" s="73">
        <f t="shared" si="73"/>
        <v>0</v>
      </c>
      <c r="P246" s="73">
        <f t="shared" si="73"/>
        <v>0</v>
      </c>
      <c r="Q246" s="73">
        <f t="shared" si="73"/>
        <v>0</v>
      </c>
      <c r="R246" s="73">
        <f t="shared" si="73"/>
        <v>0</v>
      </c>
      <c r="S246" s="73">
        <f t="shared" si="73"/>
        <v>0</v>
      </c>
      <c r="T246" s="73">
        <f t="shared" si="73"/>
        <v>0</v>
      </c>
      <c r="U246" s="73">
        <f t="shared" si="73"/>
        <v>0</v>
      </c>
      <c r="V246" s="73">
        <f t="shared" si="73"/>
        <v>0</v>
      </c>
      <c r="W246" s="64"/>
      <c r="X246" s="29"/>
      <c r="Y246" s="29"/>
      <c r="Z246" s="29"/>
      <c r="AA246" s="29"/>
      <c r="AB246" s="29"/>
      <c r="AC246" s="29"/>
      <c r="AD246" s="29"/>
      <c r="AE246" s="29"/>
      <c r="AF246" s="29"/>
      <c r="AG246" s="29"/>
      <c r="AH246" s="29"/>
      <c r="AI246" s="29"/>
      <c r="AJ246" s="29"/>
      <c r="AK246" s="29"/>
      <c r="AL246" s="29"/>
      <c r="AM246" s="29"/>
      <c r="AN246" s="29"/>
      <c r="AO246" s="29"/>
      <c r="AP246" s="29"/>
      <c r="AQ246" s="29"/>
      <c r="AR246" s="29"/>
      <c r="AS246" s="29"/>
      <c r="AT246" s="29"/>
      <c r="AU246" s="29"/>
      <c r="AV246" s="29"/>
      <c r="AW246" s="29"/>
      <c r="AX246" s="29"/>
      <c r="AY246" s="29"/>
      <c r="AZ246" s="29"/>
      <c r="BA246" s="29"/>
      <c r="BB246" s="29"/>
      <c r="BC246" s="29"/>
      <c r="BD246" s="29"/>
      <c r="BE246" s="29"/>
      <c r="BF246" s="29"/>
      <c r="BG246" s="29"/>
      <c r="BH246" s="29"/>
      <c r="BI246" s="29"/>
      <c r="BJ246" s="29"/>
      <c r="BK246" s="29"/>
      <c r="BL246" s="29"/>
      <c r="BM246" s="29"/>
      <c r="BN246" s="29"/>
    </row>
    <row r="247" spans="1:66" s="26" customFormat="1" x14ac:dyDescent="0.2">
      <c r="A247" s="157"/>
      <c r="B247" s="31"/>
      <c r="C247" s="178" t="s">
        <v>19</v>
      </c>
      <c r="D247" s="85">
        <f>SUM(D248:D248)</f>
        <v>0</v>
      </c>
      <c r="E247" s="85">
        <f>+E248</f>
        <v>0</v>
      </c>
      <c r="F247" s="85">
        <f>+F248</f>
        <v>0</v>
      </c>
      <c r="G247" s="85">
        <f>+G248</f>
        <v>0</v>
      </c>
      <c r="H247" s="85">
        <f>+H248</f>
        <v>0</v>
      </c>
      <c r="I247" s="85">
        <f>D247+E247-F247+G247-H247</f>
        <v>0</v>
      </c>
      <c r="J247" s="75">
        <f>J248</f>
        <v>0</v>
      </c>
      <c r="K247" s="75">
        <f t="shared" si="73"/>
        <v>0</v>
      </c>
      <c r="L247" s="75">
        <f t="shared" si="73"/>
        <v>0</v>
      </c>
      <c r="M247" s="75">
        <f t="shared" si="73"/>
        <v>0</v>
      </c>
      <c r="N247" s="75">
        <f t="shared" si="73"/>
        <v>0</v>
      </c>
      <c r="O247" s="75">
        <f t="shared" si="73"/>
        <v>0</v>
      </c>
      <c r="P247" s="75">
        <f t="shared" si="73"/>
        <v>0</v>
      </c>
      <c r="Q247" s="75">
        <f t="shared" si="73"/>
        <v>0</v>
      </c>
      <c r="R247" s="75">
        <f t="shared" si="73"/>
        <v>0</v>
      </c>
      <c r="S247" s="75">
        <f t="shared" si="73"/>
        <v>0</v>
      </c>
      <c r="T247" s="75">
        <f t="shared" si="73"/>
        <v>0</v>
      </c>
      <c r="U247" s="75">
        <f t="shared" si="73"/>
        <v>0</v>
      </c>
      <c r="V247" s="75">
        <f t="shared" si="73"/>
        <v>0</v>
      </c>
      <c r="W247" s="64"/>
    </row>
    <row r="248" spans="1:66" s="32" customFormat="1" x14ac:dyDescent="0.2">
      <c r="A248" s="160"/>
      <c r="B248" s="9"/>
      <c r="C248" s="180"/>
      <c r="D248" s="86">
        <v>0</v>
      </c>
      <c r="E248" s="86">
        <v>0</v>
      </c>
      <c r="F248" s="86">
        <v>0</v>
      </c>
      <c r="G248" s="86">
        <v>0</v>
      </c>
      <c r="H248" s="86">
        <v>0</v>
      </c>
      <c r="I248" s="86">
        <f>D248+E248-F248+G248-H248</f>
        <v>0</v>
      </c>
      <c r="J248" s="86"/>
      <c r="K248" s="86"/>
      <c r="L248" s="86"/>
      <c r="M248" s="86"/>
      <c r="N248" s="86"/>
      <c r="O248" s="86"/>
      <c r="P248" s="86"/>
      <c r="Q248" s="86"/>
      <c r="R248" s="86"/>
      <c r="S248" s="86"/>
      <c r="T248" s="86"/>
      <c r="U248" s="86"/>
      <c r="V248" s="86"/>
      <c r="W248" s="64"/>
      <c r="X248" s="29"/>
      <c r="Y248" s="29"/>
      <c r="Z248" s="29"/>
      <c r="AA248" s="29"/>
      <c r="AB248" s="29"/>
      <c r="AC248" s="29"/>
      <c r="AD248" s="29"/>
      <c r="AE248" s="29"/>
      <c r="AF248" s="29"/>
      <c r="AG248" s="29"/>
      <c r="AH248" s="29"/>
      <c r="AI248" s="29"/>
      <c r="AJ248" s="29"/>
      <c r="AK248" s="29"/>
      <c r="AL248" s="29"/>
      <c r="AM248" s="29"/>
      <c r="AN248" s="29"/>
      <c r="AO248" s="29"/>
      <c r="AP248" s="29"/>
      <c r="AQ248" s="29"/>
      <c r="AR248" s="29"/>
      <c r="AS248" s="29"/>
      <c r="AT248" s="29"/>
      <c r="AU248" s="29"/>
      <c r="AV248" s="29"/>
      <c r="AW248" s="29"/>
      <c r="AX248" s="29"/>
      <c r="AY248" s="29"/>
      <c r="AZ248" s="29"/>
      <c r="BA248" s="29"/>
      <c r="BB248" s="29"/>
      <c r="BC248" s="29"/>
      <c r="BD248" s="29"/>
      <c r="BE248" s="29"/>
      <c r="BF248" s="29"/>
      <c r="BG248" s="29"/>
      <c r="BH248" s="29"/>
      <c r="BI248" s="29"/>
      <c r="BJ248" s="29"/>
      <c r="BK248" s="29"/>
      <c r="BL248" s="29"/>
      <c r="BM248" s="29"/>
      <c r="BN248" s="29"/>
    </row>
    <row r="249" spans="1:66" s="34" customFormat="1" x14ac:dyDescent="0.2">
      <c r="A249" s="163"/>
      <c r="B249" s="31"/>
      <c r="C249" s="178" t="s">
        <v>20</v>
      </c>
      <c r="D249" s="85">
        <f>D250+D251+D252+D253+D254+D255+D256+D257+D258+D259</f>
        <v>240173843.73000002</v>
      </c>
      <c r="E249" s="85">
        <f t="shared" ref="E249:V249" si="74">E250+E251+E252+E253+E254+E255+E256+E257+E258+E259</f>
        <v>0</v>
      </c>
      <c r="F249" s="85">
        <f t="shared" si="74"/>
        <v>0</v>
      </c>
      <c r="G249" s="85">
        <f t="shared" si="74"/>
        <v>0</v>
      </c>
      <c r="H249" s="85">
        <f t="shared" si="74"/>
        <v>0</v>
      </c>
      <c r="I249" s="85">
        <f t="shared" si="74"/>
        <v>240173843.73000002</v>
      </c>
      <c r="J249" s="85">
        <f t="shared" si="74"/>
        <v>0</v>
      </c>
      <c r="K249" s="85">
        <f t="shared" si="74"/>
        <v>0</v>
      </c>
      <c r="L249" s="85">
        <f t="shared" si="74"/>
        <v>0</v>
      </c>
      <c r="M249" s="85">
        <f t="shared" si="74"/>
        <v>0</v>
      </c>
      <c r="N249" s="85">
        <f t="shared" si="74"/>
        <v>0</v>
      </c>
      <c r="O249" s="85">
        <f t="shared" si="74"/>
        <v>0</v>
      </c>
      <c r="P249" s="85">
        <f t="shared" si="74"/>
        <v>0</v>
      </c>
      <c r="Q249" s="85">
        <f t="shared" si="74"/>
        <v>0</v>
      </c>
      <c r="R249" s="85">
        <f t="shared" si="74"/>
        <v>0</v>
      </c>
      <c r="S249" s="85">
        <f t="shared" si="74"/>
        <v>0</v>
      </c>
      <c r="T249" s="85">
        <f t="shared" si="74"/>
        <v>0</v>
      </c>
      <c r="U249" s="85">
        <f t="shared" si="74"/>
        <v>0</v>
      </c>
      <c r="V249" s="85">
        <f t="shared" si="74"/>
        <v>0</v>
      </c>
      <c r="W249" s="64"/>
      <c r="X249" s="26"/>
      <c r="Y249" s="26"/>
      <c r="Z249" s="26"/>
      <c r="AA249" s="26"/>
      <c r="AB249" s="26"/>
      <c r="AC249" s="26"/>
      <c r="AD249" s="26"/>
      <c r="AE249" s="26"/>
      <c r="AF249" s="26"/>
      <c r="AG249" s="26"/>
      <c r="AH249" s="26"/>
      <c r="AI249" s="26"/>
      <c r="AJ249" s="26"/>
      <c r="AK249" s="26"/>
      <c r="AL249" s="26"/>
      <c r="AM249" s="26"/>
      <c r="AN249" s="26"/>
      <c r="AO249" s="26"/>
      <c r="AP249" s="26"/>
      <c r="AQ249" s="26"/>
      <c r="AR249" s="26"/>
      <c r="AS249" s="26"/>
      <c r="AT249" s="26"/>
      <c r="AU249" s="26"/>
      <c r="AV249" s="26"/>
      <c r="AW249" s="26"/>
      <c r="AX249" s="26"/>
      <c r="AY249" s="26"/>
      <c r="AZ249" s="26"/>
      <c r="BA249" s="26"/>
      <c r="BB249" s="26"/>
      <c r="BC249" s="26"/>
      <c r="BD249" s="26"/>
      <c r="BE249" s="26"/>
      <c r="BF249" s="26"/>
      <c r="BG249" s="26"/>
      <c r="BH249" s="26"/>
      <c r="BI249" s="26"/>
      <c r="BJ249" s="26"/>
      <c r="BK249" s="26"/>
      <c r="BL249" s="26"/>
      <c r="BM249" s="26"/>
      <c r="BN249" s="26"/>
    </row>
    <row r="250" spans="1:66" s="32" customFormat="1" ht="38.25" x14ac:dyDescent="0.2">
      <c r="A250" s="160" t="s">
        <v>238</v>
      </c>
      <c r="B250" s="9" t="s">
        <v>237</v>
      </c>
      <c r="C250" s="180" t="s">
        <v>107</v>
      </c>
      <c r="D250" s="86">
        <v>6143248.1600000001</v>
      </c>
      <c r="E250" s="86">
        <v>0</v>
      </c>
      <c r="F250" s="86">
        <v>0</v>
      </c>
      <c r="G250" s="86">
        <v>0</v>
      </c>
      <c r="H250" s="86">
        <v>0</v>
      </c>
      <c r="I250" s="86">
        <f>D250+E250-F250+G250-H250</f>
        <v>6143248.1600000001</v>
      </c>
      <c r="J250" s="86">
        <v>0</v>
      </c>
      <c r="K250" s="86">
        <v>0</v>
      </c>
      <c r="L250" s="86">
        <v>0</v>
      </c>
      <c r="M250" s="86">
        <v>0</v>
      </c>
      <c r="N250" s="86">
        <v>0</v>
      </c>
      <c r="O250" s="86">
        <v>0</v>
      </c>
      <c r="P250" s="86">
        <v>0</v>
      </c>
      <c r="Q250" s="86">
        <v>0</v>
      </c>
      <c r="R250" s="86">
        <v>0</v>
      </c>
      <c r="S250" s="86">
        <v>0</v>
      </c>
      <c r="T250" s="86">
        <v>0</v>
      </c>
      <c r="U250" s="86">
        <v>0</v>
      </c>
      <c r="V250" s="86">
        <v>0</v>
      </c>
      <c r="W250" s="64"/>
      <c r="X250" s="29"/>
      <c r="Y250" s="29"/>
      <c r="Z250" s="29"/>
      <c r="AA250" s="29"/>
      <c r="AB250" s="29"/>
      <c r="AC250" s="29"/>
      <c r="AD250" s="29"/>
      <c r="AE250" s="29"/>
      <c r="AF250" s="29"/>
      <c r="AG250" s="29"/>
      <c r="AH250" s="29"/>
      <c r="AI250" s="29"/>
      <c r="AJ250" s="29"/>
      <c r="AK250" s="29"/>
      <c r="AL250" s="29"/>
      <c r="AM250" s="29"/>
      <c r="AN250" s="29"/>
      <c r="AO250" s="29"/>
      <c r="AP250" s="29"/>
      <c r="AQ250" s="29"/>
      <c r="AR250" s="29"/>
      <c r="AS250" s="29"/>
      <c r="AT250" s="29"/>
      <c r="AU250" s="29"/>
      <c r="AV250" s="29"/>
      <c r="AW250" s="29"/>
      <c r="AX250" s="29"/>
      <c r="AY250" s="29"/>
      <c r="AZ250" s="29"/>
      <c r="BA250" s="29"/>
      <c r="BB250" s="29"/>
      <c r="BC250" s="29"/>
      <c r="BD250" s="29"/>
      <c r="BE250" s="29"/>
      <c r="BF250" s="29"/>
      <c r="BG250" s="29"/>
      <c r="BH250" s="29"/>
      <c r="BI250" s="29"/>
      <c r="BJ250" s="29"/>
      <c r="BK250" s="29"/>
      <c r="BL250" s="29"/>
      <c r="BM250" s="29"/>
      <c r="BN250" s="29"/>
    </row>
    <row r="251" spans="1:66" s="32" customFormat="1" ht="38.25" x14ac:dyDescent="0.2">
      <c r="A251" s="160" t="s">
        <v>239</v>
      </c>
      <c r="B251" s="9" t="s">
        <v>231</v>
      </c>
      <c r="C251" s="180" t="s">
        <v>107</v>
      </c>
      <c r="D251" s="86">
        <v>86678343.989999995</v>
      </c>
      <c r="E251" s="86">
        <v>0</v>
      </c>
      <c r="F251" s="86">
        <v>0</v>
      </c>
      <c r="G251" s="86">
        <v>0</v>
      </c>
      <c r="H251" s="86">
        <v>0</v>
      </c>
      <c r="I251" s="86">
        <f t="shared" ref="I251:I259" si="75">D251+E251-F251+G251-H251</f>
        <v>86678343.989999995</v>
      </c>
      <c r="J251" s="86">
        <v>0</v>
      </c>
      <c r="K251" s="86">
        <v>0</v>
      </c>
      <c r="L251" s="86">
        <v>0</v>
      </c>
      <c r="M251" s="86">
        <v>0</v>
      </c>
      <c r="N251" s="86">
        <v>0</v>
      </c>
      <c r="O251" s="86">
        <v>0</v>
      </c>
      <c r="P251" s="86">
        <v>0</v>
      </c>
      <c r="Q251" s="86">
        <v>0</v>
      </c>
      <c r="R251" s="86">
        <v>0</v>
      </c>
      <c r="S251" s="86">
        <v>0</v>
      </c>
      <c r="T251" s="86">
        <v>0</v>
      </c>
      <c r="U251" s="86">
        <v>0</v>
      </c>
      <c r="V251" s="86">
        <v>0</v>
      </c>
      <c r="W251" s="64"/>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c r="AT251" s="29"/>
      <c r="AU251" s="29"/>
      <c r="AV251" s="29"/>
      <c r="AW251" s="29"/>
      <c r="AX251" s="29"/>
      <c r="AY251" s="29"/>
      <c r="AZ251" s="29"/>
      <c r="BA251" s="29"/>
      <c r="BB251" s="29"/>
      <c r="BC251" s="29"/>
      <c r="BD251" s="29"/>
      <c r="BE251" s="29"/>
      <c r="BF251" s="29"/>
      <c r="BG251" s="29"/>
      <c r="BH251" s="29"/>
      <c r="BI251" s="29"/>
      <c r="BJ251" s="29"/>
      <c r="BK251" s="29"/>
      <c r="BL251" s="29"/>
      <c r="BM251" s="29"/>
      <c r="BN251" s="29"/>
    </row>
    <row r="252" spans="1:66" s="32" customFormat="1" ht="38.25" x14ac:dyDescent="0.2">
      <c r="A252" s="160" t="s">
        <v>240</v>
      </c>
      <c r="B252" s="9" t="s">
        <v>232</v>
      </c>
      <c r="C252" s="8" t="s">
        <v>233</v>
      </c>
      <c r="D252" s="86">
        <v>2497252.38</v>
      </c>
      <c r="E252" s="86"/>
      <c r="F252" s="86"/>
      <c r="G252" s="86"/>
      <c r="H252" s="86"/>
      <c r="I252" s="86">
        <f t="shared" si="75"/>
        <v>2497252.38</v>
      </c>
      <c r="J252" s="86">
        <v>0</v>
      </c>
      <c r="K252" s="86">
        <v>0</v>
      </c>
      <c r="L252" s="86">
        <v>0</v>
      </c>
      <c r="M252" s="86">
        <v>0</v>
      </c>
      <c r="N252" s="86">
        <v>0</v>
      </c>
      <c r="O252" s="86">
        <v>0</v>
      </c>
      <c r="P252" s="86">
        <v>0</v>
      </c>
      <c r="Q252" s="86">
        <v>0</v>
      </c>
      <c r="R252" s="86">
        <v>0</v>
      </c>
      <c r="S252" s="86">
        <v>0</v>
      </c>
      <c r="T252" s="86">
        <v>0</v>
      </c>
      <c r="U252" s="86">
        <v>0</v>
      </c>
      <c r="V252" s="86">
        <v>0</v>
      </c>
      <c r="W252" s="64"/>
      <c r="X252" s="29"/>
      <c r="Y252" s="29"/>
      <c r="Z252" s="29"/>
      <c r="AA252" s="29"/>
      <c r="AB252" s="29"/>
      <c r="AC252" s="29"/>
      <c r="AD252" s="29"/>
      <c r="AE252" s="29"/>
      <c r="AF252" s="29"/>
      <c r="AG252" s="29"/>
      <c r="AH252" s="29"/>
      <c r="AI252" s="29"/>
      <c r="AJ252" s="29"/>
      <c r="AK252" s="29"/>
      <c r="AL252" s="29"/>
      <c r="AM252" s="29"/>
      <c r="AN252" s="29"/>
      <c r="AO252" s="29"/>
      <c r="AP252" s="29"/>
      <c r="AQ252" s="29"/>
      <c r="AR252" s="29"/>
      <c r="AS252" s="29"/>
      <c r="AT252" s="29"/>
      <c r="AU252" s="29"/>
      <c r="AV252" s="29"/>
      <c r="AW252" s="29"/>
      <c r="AX252" s="29"/>
      <c r="AY252" s="29"/>
      <c r="AZ252" s="29"/>
      <c r="BA252" s="29"/>
      <c r="BB252" s="29"/>
      <c r="BC252" s="29"/>
      <c r="BD252" s="29"/>
      <c r="BE252" s="29"/>
      <c r="BF252" s="29"/>
      <c r="BG252" s="29"/>
      <c r="BH252" s="29"/>
      <c r="BI252" s="29"/>
      <c r="BJ252" s="29"/>
      <c r="BK252" s="29"/>
      <c r="BL252" s="29"/>
      <c r="BM252" s="29"/>
      <c r="BN252" s="29"/>
    </row>
    <row r="253" spans="1:66" s="32" customFormat="1" ht="38.25" x14ac:dyDescent="0.2">
      <c r="A253" s="160" t="s">
        <v>241</v>
      </c>
      <c r="B253" s="9" t="s">
        <v>234</v>
      </c>
      <c r="C253" s="8" t="s">
        <v>233</v>
      </c>
      <c r="D253" s="86">
        <v>61550904.630000003</v>
      </c>
      <c r="E253" s="86"/>
      <c r="F253" s="86"/>
      <c r="G253" s="86"/>
      <c r="H253" s="86"/>
      <c r="I253" s="86">
        <f t="shared" si="75"/>
        <v>61550904.630000003</v>
      </c>
      <c r="J253" s="86">
        <v>0</v>
      </c>
      <c r="K253" s="86">
        <v>0</v>
      </c>
      <c r="L253" s="86">
        <v>0</v>
      </c>
      <c r="M253" s="86">
        <v>0</v>
      </c>
      <c r="N253" s="86">
        <v>0</v>
      </c>
      <c r="O253" s="86">
        <v>0</v>
      </c>
      <c r="P253" s="86">
        <v>0</v>
      </c>
      <c r="Q253" s="86">
        <v>0</v>
      </c>
      <c r="R253" s="86">
        <v>0</v>
      </c>
      <c r="S253" s="86">
        <v>0</v>
      </c>
      <c r="T253" s="86">
        <v>0</v>
      </c>
      <c r="U253" s="86">
        <v>0</v>
      </c>
      <c r="V253" s="86">
        <v>0</v>
      </c>
      <c r="W253" s="64"/>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c r="AT253" s="29"/>
      <c r="AU253" s="29"/>
      <c r="AV253" s="29"/>
      <c r="AW253" s="29"/>
      <c r="AX253" s="29"/>
      <c r="AY253" s="29"/>
      <c r="AZ253" s="29"/>
      <c r="BA253" s="29"/>
      <c r="BB253" s="29"/>
      <c r="BC253" s="29"/>
      <c r="BD253" s="29"/>
      <c r="BE253" s="29"/>
      <c r="BF253" s="29"/>
      <c r="BG253" s="29"/>
      <c r="BH253" s="29"/>
      <c r="BI253" s="29"/>
      <c r="BJ253" s="29"/>
      <c r="BK253" s="29"/>
      <c r="BL253" s="29"/>
      <c r="BM253" s="29"/>
      <c r="BN253" s="29"/>
    </row>
    <row r="254" spans="1:66" s="32" customFormat="1" ht="38.25" x14ac:dyDescent="0.2">
      <c r="A254" s="160" t="s">
        <v>242</v>
      </c>
      <c r="B254" s="9" t="s">
        <v>234</v>
      </c>
      <c r="C254" s="8" t="s">
        <v>233</v>
      </c>
      <c r="D254" s="86">
        <v>2211404.9700000002</v>
      </c>
      <c r="E254" s="86"/>
      <c r="F254" s="86"/>
      <c r="G254" s="86"/>
      <c r="H254" s="86"/>
      <c r="I254" s="86">
        <f t="shared" si="75"/>
        <v>2211404.9700000002</v>
      </c>
      <c r="J254" s="86">
        <v>0</v>
      </c>
      <c r="K254" s="86">
        <v>0</v>
      </c>
      <c r="L254" s="86">
        <v>0</v>
      </c>
      <c r="M254" s="86">
        <v>0</v>
      </c>
      <c r="N254" s="86">
        <v>0</v>
      </c>
      <c r="O254" s="86">
        <v>0</v>
      </c>
      <c r="P254" s="86">
        <v>0</v>
      </c>
      <c r="Q254" s="86">
        <v>0</v>
      </c>
      <c r="R254" s="86">
        <v>0</v>
      </c>
      <c r="S254" s="86">
        <v>0</v>
      </c>
      <c r="T254" s="86">
        <v>0</v>
      </c>
      <c r="U254" s="86">
        <v>0</v>
      </c>
      <c r="V254" s="86">
        <v>0</v>
      </c>
      <c r="W254" s="64"/>
      <c r="X254" s="29"/>
      <c r="Y254" s="29"/>
      <c r="Z254" s="29"/>
      <c r="AA254" s="29"/>
      <c r="AB254" s="29"/>
      <c r="AC254" s="29"/>
      <c r="AD254" s="29"/>
      <c r="AE254" s="29"/>
      <c r="AF254" s="29"/>
      <c r="AG254" s="29"/>
      <c r="AH254" s="29"/>
      <c r="AI254" s="29"/>
      <c r="AJ254" s="29"/>
      <c r="AK254" s="29"/>
      <c r="AL254" s="29"/>
      <c r="AM254" s="29"/>
      <c r="AN254" s="29"/>
      <c r="AO254" s="29"/>
      <c r="AP254" s="29"/>
      <c r="AQ254" s="29"/>
      <c r="AR254" s="29"/>
      <c r="AS254" s="29"/>
      <c r="AT254" s="29"/>
      <c r="AU254" s="29"/>
      <c r="AV254" s="29"/>
      <c r="AW254" s="29"/>
      <c r="AX254" s="29"/>
      <c r="AY254" s="29"/>
      <c r="AZ254" s="29"/>
      <c r="BA254" s="29"/>
      <c r="BB254" s="29"/>
      <c r="BC254" s="29"/>
      <c r="BD254" s="29"/>
      <c r="BE254" s="29"/>
      <c r="BF254" s="29"/>
      <c r="BG254" s="29"/>
      <c r="BH254" s="29"/>
      <c r="BI254" s="29"/>
      <c r="BJ254" s="29"/>
      <c r="BK254" s="29"/>
      <c r="BL254" s="29"/>
      <c r="BM254" s="29"/>
      <c r="BN254" s="29"/>
    </row>
    <row r="255" spans="1:66" s="32" customFormat="1" ht="38.25" x14ac:dyDescent="0.2">
      <c r="A255" s="160" t="s">
        <v>243</v>
      </c>
      <c r="B255" s="9" t="s">
        <v>235</v>
      </c>
      <c r="C255" s="8" t="s">
        <v>233</v>
      </c>
      <c r="D255" s="86">
        <v>36254640.240000002</v>
      </c>
      <c r="E255" s="86"/>
      <c r="F255" s="86"/>
      <c r="G255" s="86"/>
      <c r="H255" s="86"/>
      <c r="I255" s="86">
        <f t="shared" si="75"/>
        <v>36254640.240000002</v>
      </c>
      <c r="J255" s="86">
        <v>0</v>
      </c>
      <c r="K255" s="86">
        <v>0</v>
      </c>
      <c r="L255" s="86">
        <v>0</v>
      </c>
      <c r="M255" s="86">
        <v>0</v>
      </c>
      <c r="N255" s="86">
        <v>0</v>
      </c>
      <c r="O255" s="86">
        <v>0</v>
      </c>
      <c r="P255" s="86">
        <v>0</v>
      </c>
      <c r="Q255" s="86">
        <v>0</v>
      </c>
      <c r="R255" s="86">
        <v>0</v>
      </c>
      <c r="S255" s="86">
        <v>0</v>
      </c>
      <c r="T255" s="86">
        <v>0</v>
      </c>
      <c r="U255" s="86">
        <v>0</v>
      </c>
      <c r="V255" s="86">
        <v>0</v>
      </c>
      <c r="W255" s="64"/>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c r="AT255" s="29"/>
      <c r="AU255" s="29"/>
      <c r="AV255" s="29"/>
      <c r="AW255" s="29"/>
      <c r="AX255" s="29"/>
      <c r="AY255" s="29"/>
      <c r="AZ255" s="29"/>
      <c r="BA255" s="29"/>
      <c r="BB255" s="29"/>
      <c r="BC255" s="29"/>
      <c r="BD255" s="29"/>
      <c r="BE255" s="29"/>
      <c r="BF255" s="29"/>
      <c r="BG255" s="29"/>
      <c r="BH255" s="29"/>
      <c r="BI255" s="29"/>
      <c r="BJ255" s="29"/>
      <c r="BK255" s="29"/>
      <c r="BL255" s="29"/>
      <c r="BM255" s="29"/>
      <c r="BN255" s="29"/>
    </row>
    <row r="256" spans="1:66" s="32" customFormat="1" ht="38.25" x14ac:dyDescent="0.2">
      <c r="A256" s="160" t="s">
        <v>244</v>
      </c>
      <c r="B256" s="9" t="s">
        <v>236</v>
      </c>
      <c r="C256" s="8" t="s">
        <v>233</v>
      </c>
      <c r="D256" s="86">
        <v>39004339.359999999</v>
      </c>
      <c r="E256" s="86"/>
      <c r="F256" s="86"/>
      <c r="G256" s="86"/>
      <c r="H256" s="86"/>
      <c r="I256" s="86">
        <f t="shared" si="75"/>
        <v>39004339.359999999</v>
      </c>
      <c r="J256" s="86">
        <v>0</v>
      </c>
      <c r="K256" s="86">
        <v>0</v>
      </c>
      <c r="L256" s="86">
        <v>0</v>
      </c>
      <c r="M256" s="86">
        <v>0</v>
      </c>
      <c r="N256" s="86">
        <v>0</v>
      </c>
      <c r="O256" s="86">
        <v>0</v>
      </c>
      <c r="P256" s="86">
        <v>0</v>
      </c>
      <c r="Q256" s="86">
        <v>0</v>
      </c>
      <c r="R256" s="86">
        <v>0</v>
      </c>
      <c r="S256" s="86">
        <v>0</v>
      </c>
      <c r="T256" s="86">
        <v>0</v>
      </c>
      <c r="U256" s="86">
        <v>0</v>
      </c>
      <c r="V256" s="86">
        <v>0</v>
      </c>
      <c r="W256" s="64"/>
      <c r="X256" s="29"/>
      <c r="Y256" s="29"/>
      <c r="Z256" s="29"/>
      <c r="AA256" s="29"/>
      <c r="AB256" s="29"/>
      <c r="AC256" s="29"/>
      <c r="AD256" s="29"/>
      <c r="AE256" s="29"/>
      <c r="AF256" s="29"/>
      <c r="AG256" s="29"/>
      <c r="AH256" s="29"/>
      <c r="AI256" s="29"/>
      <c r="AJ256" s="29"/>
      <c r="AK256" s="29"/>
      <c r="AL256" s="29"/>
      <c r="AM256" s="29"/>
      <c r="AN256" s="29"/>
      <c r="AO256" s="29"/>
      <c r="AP256" s="29"/>
      <c r="AQ256" s="29"/>
      <c r="AR256" s="29"/>
      <c r="AS256" s="29"/>
      <c r="AT256" s="29"/>
      <c r="AU256" s="29"/>
      <c r="AV256" s="29"/>
      <c r="AW256" s="29"/>
      <c r="AX256" s="29"/>
      <c r="AY256" s="29"/>
      <c r="AZ256" s="29"/>
      <c r="BA256" s="29"/>
      <c r="BB256" s="29"/>
      <c r="BC256" s="29"/>
      <c r="BD256" s="29"/>
      <c r="BE256" s="29"/>
      <c r="BF256" s="29"/>
      <c r="BG256" s="29"/>
      <c r="BH256" s="29"/>
      <c r="BI256" s="29"/>
      <c r="BJ256" s="29"/>
      <c r="BK256" s="29"/>
      <c r="BL256" s="29"/>
      <c r="BM256" s="29"/>
      <c r="BN256" s="29"/>
    </row>
    <row r="257" spans="1:66" s="32" customFormat="1" ht="38.25" x14ac:dyDescent="0.2">
      <c r="A257" s="160" t="s">
        <v>245</v>
      </c>
      <c r="B257" s="9" t="s">
        <v>234</v>
      </c>
      <c r="C257" s="8" t="s">
        <v>233</v>
      </c>
      <c r="D257" s="86">
        <v>3522240</v>
      </c>
      <c r="E257" s="86"/>
      <c r="F257" s="86"/>
      <c r="G257" s="86"/>
      <c r="H257" s="86"/>
      <c r="I257" s="86">
        <f t="shared" si="75"/>
        <v>3522240</v>
      </c>
      <c r="J257" s="86">
        <v>0</v>
      </c>
      <c r="K257" s="86">
        <v>0</v>
      </c>
      <c r="L257" s="86">
        <v>0</v>
      </c>
      <c r="M257" s="86">
        <v>0</v>
      </c>
      <c r="N257" s="86">
        <v>0</v>
      </c>
      <c r="O257" s="86">
        <v>0</v>
      </c>
      <c r="P257" s="86">
        <v>0</v>
      </c>
      <c r="Q257" s="86">
        <v>0</v>
      </c>
      <c r="R257" s="86">
        <v>0</v>
      </c>
      <c r="S257" s="86">
        <v>0</v>
      </c>
      <c r="T257" s="86">
        <v>0</v>
      </c>
      <c r="U257" s="86">
        <v>0</v>
      </c>
      <c r="V257" s="86">
        <v>0</v>
      </c>
      <c r="W257" s="64"/>
      <c r="X257" s="29"/>
      <c r="Y257" s="29"/>
      <c r="Z257" s="29"/>
      <c r="AA257" s="29"/>
      <c r="AB257" s="29"/>
      <c r="AC257" s="29"/>
      <c r="AD257" s="29"/>
      <c r="AE257" s="29"/>
      <c r="AF257" s="29"/>
      <c r="AG257" s="29"/>
      <c r="AH257" s="29"/>
      <c r="AI257" s="29"/>
      <c r="AJ257" s="29"/>
      <c r="AK257" s="29"/>
      <c r="AL257" s="29"/>
      <c r="AM257" s="29"/>
      <c r="AN257" s="29"/>
      <c r="AO257" s="29"/>
      <c r="AP257" s="29"/>
      <c r="AQ257" s="29"/>
      <c r="AR257" s="29"/>
      <c r="AS257" s="29"/>
      <c r="AT257" s="29"/>
      <c r="AU257" s="29"/>
      <c r="AV257" s="29"/>
      <c r="AW257" s="29"/>
      <c r="AX257" s="29"/>
      <c r="AY257" s="29"/>
      <c r="AZ257" s="29"/>
      <c r="BA257" s="29"/>
      <c r="BB257" s="29"/>
      <c r="BC257" s="29"/>
      <c r="BD257" s="29"/>
      <c r="BE257" s="29"/>
      <c r="BF257" s="29"/>
      <c r="BG257" s="29"/>
      <c r="BH257" s="29"/>
      <c r="BI257" s="29"/>
      <c r="BJ257" s="29"/>
      <c r="BK257" s="29"/>
      <c r="BL257" s="29"/>
      <c r="BM257" s="29"/>
      <c r="BN257" s="29"/>
    </row>
    <row r="258" spans="1:66" s="32" customFormat="1" ht="38.25" x14ac:dyDescent="0.2">
      <c r="A258" s="160" t="s">
        <v>246</v>
      </c>
      <c r="B258" s="9" t="s">
        <v>234</v>
      </c>
      <c r="C258" s="8" t="s">
        <v>233</v>
      </c>
      <c r="D258" s="86">
        <v>891070</v>
      </c>
      <c r="E258" s="86"/>
      <c r="F258" s="86"/>
      <c r="G258" s="86"/>
      <c r="H258" s="86"/>
      <c r="I258" s="86">
        <f t="shared" si="75"/>
        <v>891070</v>
      </c>
      <c r="J258" s="86">
        <v>0</v>
      </c>
      <c r="K258" s="86">
        <v>0</v>
      </c>
      <c r="L258" s="86">
        <v>0</v>
      </c>
      <c r="M258" s="86">
        <v>0</v>
      </c>
      <c r="N258" s="86">
        <v>0</v>
      </c>
      <c r="O258" s="86">
        <v>0</v>
      </c>
      <c r="P258" s="86">
        <v>0</v>
      </c>
      <c r="Q258" s="86">
        <v>0</v>
      </c>
      <c r="R258" s="86">
        <v>0</v>
      </c>
      <c r="S258" s="86">
        <v>0</v>
      </c>
      <c r="T258" s="86">
        <v>0</v>
      </c>
      <c r="U258" s="86">
        <v>0</v>
      </c>
      <c r="V258" s="86">
        <v>0</v>
      </c>
      <c r="W258" s="64"/>
      <c r="X258" s="29"/>
      <c r="Y258" s="29"/>
      <c r="Z258" s="29"/>
      <c r="AA258" s="29"/>
      <c r="AB258" s="29"/>
      <c r="AC258" s="29"/>
      <c r="AD258" s="29"/>
      <c r="AE258" s="29"/>
      <c r="AF258" s="29"/>
      <c r="AG258" s="29"/>
      <c r="AH258" s="29"/>
      <c r="AI258" s="29"/>
      <c r="AJ258" s="29"/>
      <c r="AK258" s="29"/>
      <c r="AL258" s="29"/>
      <c r="AM258" s="29"/>
      <c r="AN258" s="29"/>
      <c r="AO258" s="29"/>
      <c r="AP258" s="29"/>
      <c r="AQ258" s="29"/>
      <c r="AR258" s="29"/>
      <c r="AS258" s="29"/>
      <c r="AT258" s="29"/>
      <c r="AU258" s="29"/>
      <c r="AV258" s="29"/>
      <c r="AW258" s="29"/>
      <c r="AX258" s="29"/>
      <c r="AY258" s="29"/>
      <c r="AZ258" s="29"/>
      <c r="BA258" s="29"/>
      <c r="BB258" s="29"/>
      <c r="BC258" s="29"/>
      <c r="BD258" s="29"/>
      <c r="BE258" s="29"/>
      <c r="BF258" s="29"/>
      <c r="BG258" s="29"/>
      <c r="BH258" s="29"/>
      <c r="BI258" s="29"/>
      <c r="BJ258" s="29"/>
      <c r="BK258" s="29"/>
      <c r="BL258" s="29"/>
      <c r="BM258" s="29"/>
      <c r="BN258" s="29"/>
    </row>
    <row r="259" spans="1:66" s="32" customFormat="1" ht="38.25" x14ac:dyDescent="0.2">
      <c r="A259" s="160" t="s">
        <v>247</v>
      </c>
      <c r="B259" s="9" t="s">
        <v>234</v>
      </c>
      <c r="C259" s="8" t="s">
        <v>233</v>
      </c>
      <c r="D259" s="86">
        <v>1420400</v>
      </c>
      <c r="E259" s="86"/>
      <c r="F259" s="86"/>
      <c r="G259" s="86"/>
      <c r="H259" s="86"/>
      <c r="I259" s="86">
        <f t="shared" si="75"/>
        <v>1420400</v>
      </c>
      <c r="J259" s="86">
        <v>0</v>
      </c>
      <c r="K259" s="86">
        <v>0</v>
      </c>
      <c r="L259" s="86">
        <v>0</v>
      </c>
      <c r="M259" s="86">
        <v>0</v>
      </c>
      <c r="N259" s="86">
        <v>0</v>
      </c>
      <c r="O259" s="86">
        <v>0</v>
      </c>
      <c r="P259" s="86">
        <v>0</v>
      </c>
      <c r="Q259" s="86">
        <v>0</v>
      </c>
      <c r="R259" s="86">
        <v>0</v>
      </c>
      <c r="S259" s="86">
        <v>0</v>
      </c>
      <c r="T259" s="86">
        <v>0</v>
      </c>
      <c r="U259" s="86">
        <v>0</v>
      </c>
      <c r="V259" s="86">
        <v>0</v>
      </c>
      <c r="W259" s="64"/>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c r="AV259" s="29"/>
      <c r="AW259" s="29"/>
      <c r="AX259" s="29"/>
      <c r="AY259" s="29"/>
      <c r="AZ259" s="29"/>
      <c r="BA259" s="29"/>
      <c r="BB259" s="29"/>
      <c r="BC259" s="29"/>
      <c r="BD259" s="29"/>
      <c r="BE259" s="29"/>
      <c r="BF259" s="29"/>
      <c r="BG259" s="29"/>
      <c r="BH259" s="29"/>
      <c r="BI259" s="29"/>
      <c r="BJ259" s="29"/>
      <c r="BK259" s="29"/>
      <c r="BL259" s="29"/>
      <c r="BM259" s="29"/>
      <c r="BN259" s="29"/>
    </row>
    <row r="260" spans="1:66" x14ac:dyDescent="0.2">
      <c r="B260" s="36" t="s">
        <v>35</v>
      </c>
      <c r="C260" s="181" t="s">
        <v>39</v>
      </c>
      <c r="D260" s="89">
        <f>+D29+D113+D246</f>
        <v>198437358989.31216</v>
      </c>
      <c r="E260" s="89">
        <f t="shared" ref="E260:V260" si="76">+E29+E113+E246</f>
        <v>0</v>
      </c>
      <c r="F260" s="89">
        <f t="shared" si="76"/>
        <v>0</v>
      </c>
      <c r="G260" s="89">
        <f t="shared" si="76"/>
        <v>0</v>
      </c>
      <c r="H260" s="89">
        <f t="shared" si="76"/>
        <v>0</v>
      </c>
      <c r="I260" s="89">
        <f t="shared" si="76"/>
        <v>198437358989.31216</v>
      </c>
      <c r="J260" s="89">
        <f t="shared" si="76"/>
        <v>0</v>
      </c>
      <c r="K260" s="89">
        <f t="shared" si="76"/>
        <v>0</v>
      </c>
      <c r="L260" s="89">
        <f t="shared" si="76"/>
        <v>0</v>
      </c>
      <c r="M260" s="89">
        <f t="shared" si="76"/>
        <v>0</v>
      </c>
      <c r="N260" s="89">
        <f t="shared" si="76"/>
        <v>0</v>
      </c>
      <c r="O260" s="89">
        <f t="shared" si="76"/>
        <v>0</v>
      </c>
      <c r="P260" s="89">
        <f t="shared" si="76"/>
        <v>0</v>
      </c>
      <c r="Q260" s="89">
        <f t="shared" si="76"/>
        <v>0</v>
      </c>
      <c r="R260" s="89">
        <f t="shared" si="76"/>
        <v>0</v>
      </c>
      <c r="S260" s="89">
        <f t="shared" si="76"/>
        <v>0</v>
      </c>
      <c r="T260" s="89">
        <f t="shared" si="76"/>
        <v>0</v>
      </c>
      <c r="U260" s="89">
        <f t="shared" si="76"/>
        <v>0</v>
      </c>
      <c r="V260" s="89">
        <f t="shared" si="76"/>
        <v>0</v>
      </c>
      <c r="W260" s="64"/>
    </row>
    <row r="261" spans="1:66" x14ac:dyDescent="0.2">
      <c r="B261" s="37"/>
      <c r="C261" s="182" t="s">
        <v>36</v>
      </c>
      <c r="D261" s="90">
        <f>+D28-D260</f>
        <v>-5886170880.8021545</v>
      </c>
      <c r="E261" s="90">
        <f t="shared" ref="E261:V261" si="77">+E28-E260</f>
        <v>0</v>
      </c>
      <c r="F261" s="90">
        <f t="shared" si="77"/>
        <v>0</v>
      </c>
      <c r="G261" s="90">
        <f t="shared" si="77"/>
        <v>0</v>
      </c>
      <c r="H261" s="90">
        <f t="shared" si="77"/>
        <v>0</v>
      </c>
      <c r="I261" s="90">
        <f t="shared" si="77"/>
        <v>-5886170880.8021545</v>
      </c>
      <c r="J261" s="90">
        <f t="shared" si="77"/>
        <v>0</v>
      </c>
      <c r="K261" s="90">
        <f t="shared" si="77"/>
        <v>0</v>
      </c>
      <c r="L261" s="90">
        <f t="shared" si="77"/>
        <v>0</v>
      </c>
      <c r="M261" s="90">
        <f t="shared" si="77"/>
        <v>0</v>
      </c>
      <c r="N261" s="90">
        <f t="shared" si="77"/>
        <v>0</v>
      </c>
      <c r="O261" s="90">
        <f t="shared" si="77"/>
        <v>0</v>
      </c>
      <c r="P261" s="90">
        <f t="shared" si="77"/>
        <v>0</v>
      </c>
      <c r="Q261" s="90">
        <f t="shared" si="77"/>
        <v>0</v>
      </c>
      <c r="R261" s="90">
        <f t="shared" si="77"/>
        <v>0</v>
      </c>
      <c r="S261" s="90">
        <f t="shared" si="77"/>
        <v>0</v>
      </c>
      <c r="T261" s="90">
        <f t="shared" si="77"/>
        <v>0</v>
      </c>
      <c r="U261" s="90">
        <f t="shared" si="77"/>
        <v>0</v>
      </c>
      <c r="V261" s="90">
        <f t="shared" si="77"/>
        <v>0</v>
      </c>
      <c r="W261" s="64"/>
    </row>
    <row r="265" spans="1:66" ht="15.75" x14ac:dyDescent="0.2">
      <c r="E265" s="64"/>
      <c r="F265" s="64"/>
      <c r="G265" s="126"/>
      <c r="H265" s="64"/>
      <c r="I265" s="119"/>
    </row>
    <row r="266" spans="1:66" ht="14.25" x14ac:dyDescent="0.2">
      <c r="E266" s="64"/>
      <c r="F266" s="64"/>
      <c r="G266" s="127"/>
      <c r="H266" s="64"/>
      <c r="I266" s="119"/>
    </row>
    <row r="267" spans="1:66" s="38" customFormat="1" ht="15" x14ac:dyDescent="0.2">
      <c r="A267" s="164"/>
      <c r="C267" s="184" t="s">
        <v>158</v>
      </c>
      <c r="D267" s="115"/>
      <c r="E267" s="116"/>
      <c r="F267" s="116"/>
      <c r="G267" s="116"/>
      <c r="H267" s="116"/>
      <c r="I267" s="120"/>
      <c r="J267" s="115"/>
      <c r="K267" s="115"/>
      <c r="L267" s="128" t="s">
        <v>224</v>
      </c>
      <c r="M267" s="115"/>
      <c r="N267" s="115"/>
      <c r="O267" s="115"/>
      <c r="P267" s="115"/>
      <c r="Q267" s="115"/>
      <c r="R267" s="115"/>
      <c r="S267" s="115"/>
      <c r="T267" s="115"/>
      <c r="U267" s="115"/>
      <c r="V267" s="115"/>
      <c r="W267" s="71"/>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row>
    <row r="268" spans="1:66" s="38" customFormat="1" ht="15" x14ac:dyDescent="0.2">
      <c r="A268" s="164"/>
      <c r="C268" s="185" t="s">
        <v>136</v>
      </c>
      <c r="D268" s="116"/>
      <c r="E268" s="116"/>
      <c r="F268" s="116"/>
      <c r="G268" s="116"/>
      <c r="H268" s="116"/>
      <c r="I268" s="120"/>
      <c r="J268" s="115"/>
      <c r="K268" s="115"/>
      <c r="L268" s="129" t="s">
        <v>201</v>
      </c>
      <c r="M268" s="130"/>
      <c r="N268" s="115"/>
      <c r="O268" s="115"/>
      <c r="P268" s="115"/>
      <c r="Q268" s="115"/>
      <c r="R268" s="115"/>
      <c r="S268" s="115"/>
      <c r="T268" s="115"/>
      <c r="U268" s="115"/>
      <c r="V268" s="115"/>
      <c r="W268" s="71"/>
      <c r="X268" s="39"/>
      <c r="Y268" s="39"/>
      <c r="Z268" s="39"/>
      <c r="AA268" s="39"/>
      <c r="AB268" s="39"/>
      <c r="AC268" s="39"/>
      <c r="AD268" s="39"/>
      <c r="AE268" s="39"/>
      <c r="AF268" s="39"/>
      <c r="AG268" s="39"/>
      <c r="AH268" s="39"/>
      <c r="AI268" s="39"/>
      <c r="AJ268" s="39"/>
      <c r="AK268" s="39"/>
      <c r="AL268" s="39"/>
      <c r="AM268" s="39"/>
      <c r="AN268" s="39"/>
      <c r="AO268" s="39"/>
      <c r="AP268" s="39"/>
      <c r="AQ268" s="39"/>
      <c r="AR268" s="39"/>
      <c r="AS268" s="39"/>
      <c r="AT268" s="39"/>
      <c r="AU268" s="39"/>
      <c r="AV268" s="39"/>
      <c r="AW268" s="39"/>
      <c r="AX268" s="39"/>
      <c r="AY268" s="39"/>
      <c r="AZ268" s="39"/>
      <c r="BA268" s="39"/>
      <c r="BB268" s="39"/>
      <c r="BC268" s="39"/>
      <c r="BD268" s="39"/>
      <c r="BE268" s="39"/>
      <c r="BF268" s="39"/>
      <c r="BG268" s="39"/>
      <c r="BH268" s="39"/>
      <c r="BI268" s="39"/>
      <c r="BJ268" s="39"/>
      <c r="BK268" s="39"/>
      <c r="BL268" s="39"/>
      <c r="BM268" s="39"/>
      <c r="BN268" s="39"/>
    </row>
    <row r="269" spans="1:66" x14ac:dyDescent="0.2">
      <c r="B269" s="35" t="s">
        <v>159</v>
      </c>
    </row>
  </sheetData>
  <mergeCells count="2">
    <mergeCell ref="C1:G1"/>
    <mergeCell ref="C2:I2"/>
  </mergeCells>
  <pageMargins left="0.43307086614173229" right="0.23622047244094491" top="0.74803149606299213" bottom="0.74803149606299213" header="0.11811023622047245" footer="0.31496062992125984"/>
  <pageSetup paperSize="9" scale="38" fitToHeight="0" orientation="landscape" r:id="rId1"/>
  <headerFooter>
    <oddFooter>&amp;C&amp;P DE &amp;N</oddFooter>
  </headerFooter>
  <rowBreaks count="1" manualBreakCount="1">
    <brk id="73" min="1" max="2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BB831-F092-446C-9D7F-F9DAFC1AA968}">
  <sheetPr>
    <tabColor rgb="FF00B050"/>
  </sheetPr>
  <dimension ref="A1:BN269"/>
  <sheetViews>
    <sheetView tabSelected="1" view="pageBreakPreview" zoomScale="70" zoomScaleNormal="70" zoomScaleSheetLayoutView="70" workbookViewId="0">
      <pane xSplit="3" ySplit="4" topLeftCell="J5" activePane="bottomRight" state="frozen"/>
      <selection pane="topRight" activeCell="C1" sqref="C1"/>
      <selection pane="bottomLeft" activeCell="A5" sqref="A5"/>
      <selection pane="bottomRight" activeCell="J4" sqref="J4"/>
    </sheetView>
  </sheetViews>
  <sheetFormatPr baseColWidth="10" defaultColWidth="8.85546875" defaultRowHeight="12.75" x14ac:dyDescent="0.2"/>
  <cols>
    <col min="1" max="1" width="8.85546875" style="160"/>
    <col min="2" max="2" width="44.7109375" style="35" customWidth="1"/>
    <col min="3" max="3" width="51.28515625" style="183" customWidth="1"/>
    <col min="4" max="4" width="26.7109375" style="40" customWidth="1"/>
    <col min="5" max="5" width="10.7109375" style="40" bestFit="1" customWidth="1"/>
    <col min="6" max="6" width="11.28515625" style="40" bestFit="1" customWidth="1"/>
    <col min="7" max="7" width="9.140625" style="40" bestFit="1" customWidth="1"/>
    <col min="8" max="8" width="11.7109375" style="40" bestFit="1" customWidth="1"/>
    <col min="9" max="9" width="22.5703125" style="121" customWidth="1"/>
    <col min="10" max="10" width="23.7109375" style="40" customWidth="1"/>
    <col min="11" max="11" width="20.28515625" style="40" bestFit="1" customWidth="1"/>
    <col min="12" max="12" width="21.28515625" style="40" customWidth="1"/>
    <col min="13" max="13" width="23.5703125" style="40" customWidth="1"/>
    <col min="14" max="14" width="27.140625" style="40" customWidth="1"/>
    <col min="15" max="15" width="22.7109375" style="40" customWidth="1"/>
    <col min="16" max="16" width="21.140625" style="40" customWidth="1"/>
    <col min="17" max="17" width="21" style="40" customWidth="1"/>
    <col min="18" max="18" width="23.140625" style="40" customWidth="1"/>
    <col min="19" max="19" width="21.85546875" style="40" customWidth="1"/>
    <col min="20" max="20" width="23.42578125" style="40" customWidth="1"/>
    <col min="21" max="21" width="22.7109375" style="40" customWidth="1"/>
    <col min="22" max="22" width="26.42578125" style="40" customWidth="1"/>
    <col min="23" max="23" width="22.42578125" style="70" customWidth="1"/>
    <col min="24" max="24" width="19.42578125" style="28" customWidth="1"/>
    <col min="25" max="66" width="8.85546875" style="28" customWidth="1"/>
    <col min="67" max="16384" width="8.85546875" style="35"/>
  </cols>
  <sheetData>
    <row r="1" spans="1:66" s="10" customFormat="1" ht="22.5" x14ac:dyDescent="0.2">
      <c r="A1" s="153"/>
      <c r="C1" s="186" t="s">
        <v>303</v>
      </c>
      <c r="D1" s="186"/>
      <c r="E1" s="186"/>
      <c r="F1" s="186"/>
      <c r="G1" s="186"/>
      <c r="H1" s="100"/>
      <c r="I1" s="117"/>
      <c r="J1" s="100"/>
      <c r="K1" s="100"/>
      <c r="L1" s="100"/>
      <c r="M1" s="100"/>
      <c r="N1" s="100"/>
      <c r="O1" s="100"/>
      <c r="P1" s="100"/>
      <c r="Q1" s="100"/>
      <c r="R1" s="100"/>
      <c r="S1" s="100"/>
      <c r="T1" s="100"/>
      <c r="U1" s="100"/>
      <c r="V1" s="100"/>
      <c r="W1" s="66"/>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row>
    <row r="2" spans="1:66" s="10" customFormat="1" ht="22.5" x14ac:dyDescent="0.2">
      <c r="A2" s="153"/>
      <c r="C2" s="187" t="s">
        <v>43</v>
      </c>
      <c r="D2" s="187"/>
      <c r="E2" s="187"/>
      <c r="F2" s="187"/>
      <c r="G2" s="187"/>
      <c r="H2" s="187"/>
      <c r="I2" s="187"/>
      <c r="J2" s="100"/>
      <c r="K2" s="100"/>
      <c r="L2" s="100"/>
      <c r="M2" s="100"/>
      <c r="N2" s="100"/>
      <c r="O2" s="100"/>
      <c r="P2" s="100"/>
      <c r="Q2" s="100"/>
      <c r="R2" s="100"/>
      <c r="S2" s="100"/>
      <c r="T2" s="100"/>
      <c r="U2" s="100"/>
      <c r="V2" s="100"/>
      <c r="W2" s="66"/>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row>
    <row r="3" spans="1:66" s="10" customFormat="1" x14ac:dyDescent="0.2">
      <c r="A3" s="153"/>
      <c r="C3" s="167"/>
      <c r="D3" s="100"/>
      <c r="E3" s="100"/>
      <c r="F3" s="100"/>
      <c r="G3" s="100"/>
      <c r="H3" s="100"/>
      <c r="I3" s="117"/>
      <c r="J3" s="100"/>
      <c r="K3" s="100"/>
      <c r="L3" s="100"/>
      <c r="M3" s="100"/>
      <c r="N3" s="100"/>
      <c r="O3" s="100"/>
      <c r="P3" s="100"/>
      <c r="Q3" s="100"/>
      <c r="R3" s="100"/>
      <c r="S3" s="100"/>
      <c r="T3" s="100"/>
      <c r="U3" s="100"/>
      <c r="V3" s="100"/>
      <c r="W3" s="66"/>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row>
    <row r="4" spans="1:66" s="1" customFormat="1" ht="96" customHeight="1" x14ac:dyDescent="0.2">
      <c r="A4" s="154"/>
      <c r="B4" s="3"/>
      <c r="C4" s="168" t="s">
        <v>37</v>
      </c>
      <c r="D4" s="101" t="s">
        <v>21</v>
      </c>
      <c r="E4" s="101" t="s">
        <v>22</v>
      </c>
      <c r="F4" s="101" t="s">
        <v>23</v>
      </c>
      <c r="G4" s="101" t="s">
        <v>40</v>
      </c>
      <c r="H4" s="101" t="s">
        <v>41</v>
      </c>
      <c r="I4" s="101" t="s">
        <v>24</v>
      </c>
      <c r="J4" s="101" t="s">
        <v>298</v>
      </c>
      <c r="K4" s="101" t="s">
        <v>299</v>
      </c>
      <c r="L4" s="101" t="s">
        <v>300</v>
      </c>
      <c r="M4" s="101"/>
      <c r="N4" s="101"/>
      <c r="O4" s="101"/>
      <c r="P4" s="101"/>
      <c r="Q4" s="101"/>
      <c r="R4" s="101"/>
      <c r="S4" s="101"/>
      <c r="T4" s="101"/>
      <c r="U4" s="101"/>
      <c r="V4" s="101" t="s">
        <v>32</v>
      </c>
      <c r="W4" s="67"/>
    </row>
    <row r="5" spans="1:66" s="11" customFormat="1" x14ac:dyDescent="0.2">
      <c r="A5" s="155"/>
      <c r="B5" s="13">
        <v>1</v>
      </c>
      <c r="C5" s="169" t="s">
        <v>5</v>
      </c>
      <c r="D5" s="102">
        <f>SUM(D6:D8)</f>
        <v>90641722287.639999</v>
      </c>
      <c r="E5" s="102">
        <f>SUM(E6:E8)</f>
        <v>0</v>
      </c>
      <c r="F5" s="102">
        <f>SUM(F6:F8)</f>
        <v>0</v>
      </c>
      <c r="G5" s="102">
        <v>0</v>
      </c>
      <c r="H5" s="102">
        <v>0</v>
      </c>
      <c r="I5" s="111">
        <f>+D5+E5-F5+G5-H5</f>
        <v>90641722287.639999</v>
      </c>
      <c r="J5" s="102">
        <f>SUM(J6:J8)</f>
        <v>0</v>
      </c>
      <c r="K5" s="102">
        <f t="shared" ref="K5:V5" si="0">SUM(K6:K8)</f>
        <v>0</v>
      </c>
      <c r="L5" s="102"/>
      <c r="M5" s="102"/>
      <c r="N5" s="102"/>
      <c r="O5" s="102"/>
      <c r="P5" s="102"/>
      <c r="Q5" s="102"/>
      <c r="R5" s="102"/>
      <c r="S5" s="102"/>
      <c r="T5" s="102"/>
      <c r="U5" s="102"/>
      <c r="V5" s="102">
        <f t="shared" si="0"/>
        <v>0</v>
      </c>
      <c r="W5" s="68"/>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row>
    <row r="6" spans="1:66" s="18" customFormat="1" x14ac:dyDescent="0.2">
      <c r="A6" s="153"/>
      <c r="B6" s="16"/>
      <c r="C6" s="170" t="s">
        <v>6</v>
      </c>
      <c r="D6" s="103">
        <v>0</v>
      </c>
      <c r="E6" s="103">
        <v>0</v>
      </c>
      <c r="F6" s="103">
        <v>0</v>
      </c>
      <c r="G6" s="103">
        <v>0</v>
      </c>
      <c r="H6" s="103">
        <v>0</v>
      </c>
      <c r="I6" s="111">
        <f>D6+E6-F6+G6-H6</f>
        <v>0</v>
      </c>
      <c r="J6" s="103">
        <v>0</v>
      </c>
      <c r="K6" s="103">
        <v>0</v>
      </c>
      <c r="L6" s="103"/>
      <c r="M6" s="103"/>
      <c r="N6" s="103"/>
      <c r="O6" s="103"/>
      <c r="P6" s="103"/>
      <c r="Q6" s="103"/>
      <c r="R6" s="103"/>
      <c r="S6" s="103"/>
      <c r="T6" s="103"/>
      <c r="U6" s="103"/>
      <c r="V6" s="103">
        <v>0</v>
      </c>
      <c r="W6" s="69"/>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row>
    <row r="7" spans="1:66" s="18" customFormat="1" x14ac:dyDescent="0.2">
      <c r="A7" s="153"/>
      <c r="B7" s="16"/>
      <c r="C7" s="170" t="s">
        <v>7</v>
      </c>
      <c r="D7" s="103">
        <f>90401548443.91+240173843.73</f>
        <v>90641722287.639999</v>
      </c>
      <c r="E7" s="103">
        <v>0</v>
      </c>
      <c r="F7" s="103">
        <v>0</v>
      </c>
      <c r="G7" s="103">
        <v>0</v>
      </c>
      <c r="H7" s="103">
        <v>0</v>
      </c>
      <c r="I7" s="166">
        <f>D7+E7-F7+G7-H7</f>
        <v>90641722287.639999</v>
      </c>
      <c r="J7" s="103">
        <v>0</v>
      </c>
      <c r="K7" s="103">
        <v>0</v>
      </c>
      <c r="L7" s="188" t="e">
        <f>+J7/K7-1</f>
        <v>#DIV/0!</v>
      </c>
      <c r="M7" s="103"/>
      <c r="N7" s="103"/>
      <c r="O7" s="103"/>
      <c r="P7" s="103"/>
      <c r="Q7" s="103"/>
      <c r="R7" s="103"/>
      <c r="S7" s="103"/>
      <c r="T7" s="103"/>
      <c r="U7" s="103"/>
      <c r="V7" s="103">
        <v>0</v>
      </c>
      <c r="W7" s="69"/>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row>
    <row r="8" spans="1:66" s="10" customFormat="1" x14ac:dyDescent="0.2">
      <c r="A8" s="153"/>
      <c r="B8" s="19"/>
      <c r="C8" s="171" t="s">
        <v>42</v>
      </c>
      <c r="D8" s="104">
        <v>0</v>
      </c>
      <c r="E8" s="104">
        <v>0</v>
      </c>
      <c r="F8" s="104">
        <v>0</v>
      </c>
      <c r="G8" s="104">
        <v>0</v>
      </c>
      <c r="H8" s="104">
        <v>0</v>
      </c>
      <c r="I8" s="111">
        <f>+D8+E8-F8+G8-H8</f>
        <v>0</v>
      </c>
      <c r="J8" s="104">
        <v>0</v>
      </c>
      <c r="K8" s="104">
        <v>0</v>
      </c>
      <c r="L8" s="188" t="e">
        <f t="shared" ref="L8:L71" si="1">+J8/K8-1</f>
        <v>#DIV/0!</v>
      </c>
      <c r="M8" s="104"/>
      <c r="N8" s="104"/>
      <c r="O8" s="104"/>
      <c r="P8" s="104"/>
      <c r="Q8" s="104"/>
      <c r="R8" s="104"/>
      <c r="S8" s="104"/>
      <c r="T8" s="104"/>
      <c r="U8" s="104"/>
      <c r="V8" s="104">
        <v>0</v>
      </c>
      <c r="W8" s="66"/>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row>
    <row r="9" spans="1:66" s="11" customFormat="1" x14ac:dyDescent="0.2">
      <c r="A9" s="155"/>
      <c r="B9" s="13">
        <v>2</v>
      </c>
      <c r="C9" s="169" t="s">
        <v>8</v>
      </c>
      <c r="D9" s="102">
        <f>D10</f>
        <v>101909465820.87</v>
      </c>
      <c r="E9" s="102">
        <f>E10</f>
        <v>0</v>
      </c>
      <c r="F9" s="102">
        <f>F10</f>
        <v>0</v>
      </c>
      <c r="G9" s="102">
        <f>G10</f>
        <v>0</v>
      </c>
      <c r="H9" s="102">
        <f>H10</f>
        <v>0</v>
      </c>
      <c r="I9" s="102">
        <f>D9+E9-F9+G9-H9</f>
        <v>101909465820.87</v>
      </c>
      <c r="J9" s="102">
        <f>J10</f>
        <v>0</v>
      </c>
      <c r="K9" s="102">
        <f t="shared" ref="K9:V11" si="2">K10</f>
        <v>0</v>
      </c>
      <c r="L9" s="188" t="e">
        <f t="shared" si="1"/>
        <v>#DIV/0!</v>
      </c>
      <c r="M9" s="102"/>
      <c r="N9" s="102"/>
      <c r="O9" s="102"/>
      <c r="P9" s="102"/>
      <c r="Q9" s="102"/>
      <c r="R9" s="102"/>
      <c r="S9" s="102"/>
      <c r="T9" s="102"/>
      <c r="U9" s="102"/>
      <c r="V9" s="102">
        <f t="shared" si="2"/>
        <v>0</v>
      </c>
      <c r="W9" s="64"/>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row>
    <row r="10" spans="1:66" s="15" customFormat="1" x14ac:dyDescent="0.2">
      <c r="A10" s="2"/>
      <c r="B10" s="4"/>
      <c r="C10" s="172" t="s">
        <v>9</v>
      </c>
      <c r="D10" s="105">
        <f>D11</f>
        <v>101909465820.87</v>
      </c>
      <c r="E10" s="106">
        <v>0</v>
      </c>
      <c r="F10" s="106">
        <v>0</v>
      </c>
      <c r="G10" s="106">
        <v>0</v>
      </c>
      <c r="H10" s="106">
        <v>0</v>
      </c>
      <c r="I10" s="102">
        <f>D10+E10-F10+G10-H10</f>
        <v>101909465820.87</v>
      </c>
      <c r="J10" s="105">
        <f>J11</f>
        <v>0</v>
      </c>
      <c r="K10" s="105">
        <f t="shared" si="2"/>
        <v>0</v>
      </c>
      <c r="L10" s="188" t="e">
        <f t="shared" si="1"/>
        <v>#DIV/0!</v>
      </c>
      <c r="M10" s="105"/>
      <c r="N10" s="105"/>
      <c r="O10" s="105"/>
      <c r="P10" s="105"/>
      <c r="Q10" s="105"/>
      <c r="R10" s="105"/>
      <c r="S10" s="105"/>
      <c r="T10" s="105"/>
      <c r="U10" s="105"/>
      <c r="V10" s="105">
        <f t="shared" si="2"/>
        <v>0</v>
      </c>
      <c r="W10" s="64"/>
    </row>
    <row r="11" spans="1:66" s="15" customFormat="1" x14ac:dyDescent="0.2">
      <c r="A11" s="2"/>
      <c r="B11" s="4" t="s">
        <v>47</v>
      </c>
      <c r="C11" s="172" t="s">
        <v>48</v>
      </c>
      <c r="D11" s="105">
        <f>D12</f>
        <v>101909465820.87</v>
      </c>
      <c r="E11" s="106">
        <v>0</v>
      </c>
      <c r="F11" s="106">
        <v>0</v>
      </c>
      <c r="G11" s="106">
        <v>0</v>
      </c>
      <c r="H11" s="106">
        <v>0</v>
      </c>
      <c r="I11" s="102">
        <f>D11+E11-F11+G11-H11</f>
        <v>101909465820.87</v>
      </c>
      <c r="J11" s="105">
        <f>J12</f>
        <v>0</v>
      </c>
      <c r="K11" s="105">
        <f t="shared" si="2"/>
        <v>0</v>
      </c>
      <c r="L11" s="188" t="e">
        <f t="shared" si="1"/>
        <v>#DIV/0!</v>
      </c>
      <c r="M11" s="105"/>
      <c r="N11" s="105"/>
      <c r="O11" s="105"/>
      <c r="P11" s="105"/>
      <c r="Q11" s="105"/>
      <c r="R11" s="105"/>
      <c r="S11" s="105"/>
      <c r="T11" s="105"/>
      <c r="U11" s="105"/>
      <c r="V11" s="105">
        <f t="shared" si="2"/>
        <v>0</v>
      </c>
      <c r="W11" s="64"/>
    </row>
    <row r="12" spans="1:66" s="15" customFormat="1" x14ac:dyDescent="0.2">
      <c r="A12" s="2"/>
      <c r="B12" s="4" t="s">
        <v>49</v>
      </c>
      <c r="C12" s="172" t="s">
        <v>50</v>
      </c>
      <c r="D12" s="105">
        <f>D13+D14+D15+D16+D17+D18+D19+D20+D21+D22</f>
        <v>101909465820.87</v>
      </c>
      <c r="E12" s="106">
        <v>0</v>
      </c>
      <c r="F12" s="106">
        <v>0</v>
      </c>
      <c r="G12" s="106">
        <v>0</v>
      </c>
      <c r="H12" s="106">
        <v>0</v>
      </c>
      <c r="I12" s="102">
        <f>D12+E12-F12+G12-H12</f>
        <v>101909465820.87</v>
      </c>
      <c r="J12" s="105">
        <f>J13+J14+J15+J16+J17+J18+J19+J20+J21+J22</f>
        <v>0</v>
      </c>
      <c r="K12" s="105">
        <f t="shared" ref="K12:V12" si="3">K13+K14+K15+K16+K17+K18+K19+K20+K21+K22</f>
        <v>0</v>
      </c>
      <c r="L12" s="188" t="e">
        <f t="shared" si="1"/>
        <v>#DIV/0!</v>
      </c>
      <c r="M12" s="105"/>
      <c r="N12" s="105"/>
      <c r="O12" s="105"/>
      <c r="P12" s="105"/>
      <c r="Q12" s="105"/>
      <c r="R12" s="105"/>
      <c r="S12" s="105"/>
      <c r="T12" s="105"/>
      <c r="U12" s="105"/>
      <c r="V12" s="105">
        <f t="shared" si="3"/>
        <v>0</v>
      </c>
      <c r="W12" s="64"/>
    </row>
    <row r="13" spans="1:66" s="12" customFormat="1" x14ac:dyDescent="0.2">
      <c r="A13" s="154"/>
      <c r="B13" s="20" t="s">
        <v>128</v>
      </c>
      <c r="C13" s="173" t="s">
        <v>15</v>
      </c>
      <c r="D13" s="106">
        <v>1545629792.9000001</v>
      </c>
      <c r="E13" s="106">
        <v>0</v>
      </c>
      <c r="F13" s="106">
        <v>0</v>
      </c>
      <c r="G13" s="106">
        <v>0</v>
      </c>
      <c r="H13" s="106">
        <v>0</v>
      </c>
      <c r="I13" s="80">
        <f>D13+E13-F13+G13-H13</f>
        <v>1545629792.9000001</v>
      </c>
      <c r="J13" s="104">
        <f>J52+J53+J56+J60+J62+J66+J69</f>
        <v>0</v>
      </c>
      <c r="K13" s="104">
        <f t="shared" ref="K13:V13" si="4">K52+K53+K56+K60+K62+K66+K69</f>
        <v>0</v>
      </c>
      <c r="L13" s="188" t="e">
        <f t="shared" si="1"/>
        <v>#DIV/0!</v>
      </c>
      <c r="M13" s="104"/>
      <c r="N13" s="104"/>
      <c r="O13" s="104"/>
      <c r="P13" s="104"/>
      <c r="Q13" s="104"/>
      <c r="R13" s="104"/>
      <c r="S13" s="104"/>
      <c r="T13" s="104"/>
      <c r="U13" s="104"/>
      <c r="V13" s="104">
        <f t="shared" si="4"/>
        <v>0</v>
      </c>
      <c r="W13" s="64"/>
    </row>
    <row r="14" spans="1:66" s="12" customFormat="1" x14ac:dyDescent="0.2">
      <c r="A14" s="154"/>
      <c r="B14" s="20" t="s">
        <v>129</v>
      </c>
      <c r="C14" s="173" t="s">
        <v>15</v>
      </c>
      <c r="D14" s="106">
        <v>10223000000</v>
      </c>
      <c r="E14" s="106">
        <v>0</v>
      </c>
      <c r="F14" s="106">
        <v>0</v>
      </c>
      <c r="G14" s="106">
        <v>0</v>
      </c>
      <c r="H14" s="106">
        <v>0</v>
      </c>
      <c r="I14" s="80">
        <f t="shared" ref="I14:I22" si="5">D14+E14-F14+G14-H14</f>
        <v>10223000000</v>
      </c>
      <c r="J14" s="106">
        <v>0</v>
      </c>
      <c r="K14" s="83">
        <v>0</v>
      </c>
      <c r="L14" s="188" t="e">
        <f t="shared" si="1"/>
        <v>#DIV/0!</v>
      </c>
      <c r="M14" s="83"/>
      <c r="N14" s="83"/>
      <c r="O14" s="83"/>
      <c r="P14" s="83"/>
      <c r="Q14" s="83"/>
      <c r="R14" s="83"/>
      <c r="S14" s="83"/>
      <c r="T14" s="83"/>
      <c r="U14" s="83"/>
      <c r="V14" s="83">
        <v>0</v>
      </c>
      <c r="W14" s="64"/>
    </row>
    <row r="15" spans="1:66" s="12" customFormat="1" x14ac:dyDescent="0.2">
      <c r="A15" s="154"/>
      <c r="B15" s="20" t="s">
        <v>157</v>
      </c>
      <c r="C15" s="173" t="s">
        <v>106</v>
      </c>
      <c r="D15" s="107">
        <v>6123229897.9700003</v>
      </c>
      <c r="E15" s="106">
        <v>0</v>
      </c>
      <c r="F15" s="106">
        <v>0</v>
      </c>
      <c r="G15" s="106">
        <v>0</v>
      </c>
      <c r="H15" s="106">
        <v>0</v>
      </c>
      <c r="I15" s="80">
        <f t="shared" si="5"/>
        <v>6123229897.9700003</v>
      </c>
      <c r="J15" s="106">
        <f>J92+J93+J95+J96</f>
        <v>0</v>
      </c>
      <c r="K15" s="106">
        <f t="shared" ref="K15:V15" si="6">K92+K93+K95+K96</f>
        <v>0</v>
      </c>
      <c r="L15" s="188" t="e">
        <f t="shared" si="1"/>
        <v>#DIV/0!</v>
      </c>
      <c r="M15" s="106"/>
      <c r="N15" s="106"/>
      <c r="O15" s="106"/>
      <c r="P15" s="106"/>
      <c r="Q15" s="106"/>
      <c r="R15" s="106"/>
      <c r="S15" s="106"/>
      <c r="T15" s="106"/>
      <c r="U15" s="106"/>
      <c r="V15" s="106">
        <f t="shared" si="6"/>
        <v>0</v>
      </c>
      <c r="W15" s="64"/>
    </row>
    <row r="16" spans="1:66" s="12" customFormat="1" x14ac:dyDescent="0.2">
      <c r="A16" s="154"/>
      <c r="B16" s="94" t="s">
        <v>130</v>
      </c>
      <c r="C16" s="173" t="s">
        <v>106</v>
      </c>
      <c r="D16" s="108">
        <v>8248505682.5700006</v>
      </c>
      <c r="E16" s="106">
        <v>0</v>
      </c>
      <c r="F16" s="106">
        <v>0</v>
      </c>
      <c r="G16" s="106">
        <v>0</v>
      </c>
      <c r="H16" s="106">
        <v>0</v>
      </c>
      <c r="I16" s="80">
        <f t="shared" si="5"/>
        <v>8248505682.5700006</v>
      </c>
      <c r="J16" s="106">
        <f>J77+J78+J80+J86+J89</f>
        <v>0</v>
      </c>
      <c r="K16" s="106">
        <f t="shared" ref="K16:V16" si="7">K77+K78+K80+K86+K89</f>
        <v>0</v>
      </c>
      <c r="L16" s="188" t="e">
        <f t="shared" si="1"/>
        <v>#DIV/0!</v>
      </c>
      <c r="M16" s="106"/>
      <c r="N16" s="106"/>
      <c r="O16" s="106"/>
      <c r="P16" s="106"/>
      <c r="Q16" s="106"/>
      <c r="R16" s="106"/>
      <c r="S16" s="106"/>
      <c r="T16" s="106"/>
      <c r="U16" s="106"/>
      <c r="V16" s="106">
        <f t="shared" si="7"/>
        <v>0</v>
      </c>
      <c r="W16" s="64"/>
    </row>
    <row r="17" spans="1:66" s="12" customFormat="1" x14ac:dyDescent="0.2">
      <c r="A17" s="154"/>
      <c r="B17" s="94" t="s">
        <v>131</v>
      </c>
      <c r="C17" s="173" t="s">
        <v>106</v>
      </c>
      <c r="D17" s="108">
        <v>3886862565</v>
      </c>
      <c r="E17" s="106">
        <v>0</v>
      </c>
      <c r="F17" s="106">
        <v>0</v>
      </c>
      <c r="G17" s="106">
        <v>0</v>
      </c>
      <c r="H17" s="106">
        <v>0</v>
      </c>
      <c r="I17" s="80">
        <f t="shared" si="5"/>
        <v>3886862565</v>
      </c>
      <c r="J17" s="106">
        <f>J108+J109</f>
        <v>0</v>
      </c>
      <c r="K17" s="106">
        <f t="shared" ref="K17:V17" si="8">K108+K109</f>
        <v>0</v>
      </c>
      <c r="L17" s="188" t="e">
        <f t="shared" si="1"/>
        <v>#DIV/0!</v>
      </c>
      <c r="M17" s="106"/>
      <c r="N17" s="106"/>
      <c r="O17" s="106"/>
      <c r="P17" s="106"/>
      <c r="Q17" s="106"/>
      <c r="R17" s="106"/>
      <c r="S17" s="106"/>
      <c r="T17" s="106"/>
      <c r="U17" s="106"/>
      <c r="V17" s="106">
        <f t="shared" si="8"/>
        <v>0</v>
      </c>
      <c r="W17" s="64"/>
    </row>
    <row r="18" spans="1:66" s="12" customFormat="1" x14ac:dyDescent="0.2">
      <c r="A18" s="154"/>
      <c r="B18" s="140" t="s">
        <v>132</v>
      </c>
      <c r="C18" s="173" t="s">
        <v>106</v>
      </c>
      <c r="D18" s="107">
        <v>1500000000</v>
      </c>
      <c r="E18" s="106">
        <v>0</v>
      </c>
      <c r="F18" s="106">
        <v>0</v>
      </c>
      <c r="G18" s="106">
        <v>0</v>
      </c>
      <c r="H18" s="106">
        <v>0</v>
      </c>
      <c r="I18" s="80">
        <f t="shared" si="5"/>
        <v>1500000000</v>
      </c>
      <c r="J18" s="106">
        <f>J99+J100</f>
        <v>0</v>
      </c>
      <c r="K18" s="106">
        <f t="shared" ref="K18:V18" si="9">K99+K100</f>
        <v>0</v>
      </c>
      <c r="L18" s="188" t="e">
        <f t="shared" si="1"/>
        <v>#DIV/0!</v>
      </c>
      <c r="M18" s="106"/>
      <c r="N18" s="106"/>
      <c r="O18" s="106"/>
      <c r="P18" s="106"/>
      <c r="Q18" s="106"/>
      <c r="R18" s="106"/>
      <c r="S18" s="106"/>
      <c r="T18" s="106"/>
      <c r="U18" s="106"/>
      <c r="V18" s="106">
        <f t="shared" si="9"/>
        <v>0</v>
      </c>
      <c r="W18" s="64"/>
    </row>
    <row r="19" spans="1:66" s="12" customFormat="1" x14ac:dyDescent="0.2">
      <c r="A19" s="154"/>
      <c r="B19" s="142" t="s">
        <v>133</v>
      </c>
      <c r="C19" s="173" t="s">
        <v>106</v>
      </c>
      <c r="D19" s="143">
        <v>16356154691.43</v>
      </c>
      <c r="E19" s="106">
        <v>0</v>
      </c>
      <c r="F19" s="106">
        <v>0</v>
      </c>
      <c r="G19" s="106">
        <v>0</v>
      </c>
      <c r="H19" s="106">
        <v>0</v>
      </c>
      <c r="I19" s="144">
        <f>D19+E19-F19+G19-H19</f>
        <v>16356154691.43</v>
      </c>
      <c r="J19" s="145">
        <f>J99+J100</f>
        <v>0</v>
      </c>
      <c r="K19" s="145">
        <f t="shared" ref="K19:V19" si="10">K99+K100</f>
        <v>0</v>
      </c>
      <c r="L19" s="188" t="e">
        <f t="shared" si="1"/>
        <v>#DIV/0!</v>
      </c>
      <c r="M19" s="145"/>
      <c r="N19" s="145"/>
      <c r="O19" s="145"/>
      <c r="P19" s="145"/>
      <c r="Q19" s="145"/>
      <c r="R19" s="145"/>
      <c r="S19" s="145"/>
      <c r="T19" s="145"/>
      <c r="U19" s="145"/>
      <c r="V19" s="145">
        <f t="shared" si="10"/>
        <v>0</v>
      </c>
      <c r="W19" s="64"/>
    </row>
    <row r="20" spans="1:66" s="12" customFormat="1" x14ac:dyDescent="0.2">
      <c r="A20" s="154"/>
      <c r="B20" s="94" t="s">
        <v>203</v>
      </c>
      <c r="C20" s="173" t="s">
        <v>106</v>
      </c>
      <c r="D20" s="107">
        <v>200000000</v>
      </c>
      <c r="E20" s="106"/>
      <c r="F20" s="106"/>
      <c r="G20" s="106"/>
      <c r="H20" s="106"/>
      <c r="I20" s="80">
        <f>D20+E20-F20+G20-H20</f>
        <v>200000000</v>
      </c>
      <c r="J20" s="106">
        <f>J101</f>
        <v>0</v>
      </c>
      <c r="K20" s="106">
        <f t="shared" ref="K20:V20" si="11">K101</f>
        <v>0</v>
      </c>
      <c r="L20" s="188" t="e">
        <f t="shared" si="1"/>
        <v>#DIV/0!</v>
      </c>
      <c r="M20" s="106"/>
      <c r="N20" s="106"/>
      <c r="O20" s="106"/>
      <c r="P20" s="106"/>
      <c r="Q20" s="106"/>
      <c r="R20" s="106"/>
      <c r="S20" s="106"/>
      <c r="T20" s="106"/>
      <c r="U20" s="106"/>
      <c r="V20" s="106">
        <f t="shared" si="11"/>
        <v>0</v>
      </c>
      <c r="W20" s="64"/>
    </row>
    <row r="21" spans="1:66" s="12" customFormat="1" x14ac:dyDescent="0.2">
      <c r="A21" s="154"/>
      <c r="B21" s="140" t="s">
        <v>134</v>
      </c>
      <c r="C21" s="173" t="s">
        <v>106</v>
      </c>
      <c r="D21" s="109">
        <v>21000000000</v>
      </c>
      <c r="E21" s="106">
        <v>0</v>
      </c>
      <c r="F21" s="106">
        <v>0</v>
      </c>
      <c r="G21" s="106">
        <v>0</v>
      </c>
      <c r="H21" s="106">
        <v>0</v>
      </c>
      <c r="I21" s="139">
        <f t="shared" si="5"/>
        <v>21000000000</v>
      </c>
      <c r="J21" s="106">
        <f>J103</f>
        <v>0</v>
      </c>
      <c r="K21" s="106">
        <f t="shared" ref="K21:V21" si="12">K103</f>
        <v>0</v>
      </c>
      <c r="L21" s="188" t="e">
        <f t="shared" si="1"/>
        <v>#DIV/0!</v>
      </c>
      <c r="M21" s="106"/>
      <c r="N21" s="106"/>
      <c r="O21" s="106"/>
      <c r="P21" s="106"/>
      <c r="Q21" s="106"/>
      <c r="R21" s="106"/>
      <c r="S21" s="106"/>
      <c r="T21" s="106"/>
      <c r="U21" s="106"/>
      <c r="V21" s="106">
        <f t="shared" si="12"/>
        <v>0</v>
      </c>
      <c r="W21" s="64"/>
    </row>
    <row r="22" spans="1:66" s="12" customFormat="1" x14ac:dyDescent="0.2">
      <c r="A22" s="154"/>
      <c r="B22" s="94" t="s">
        <v>200</v>
      </c>
      <c r="C22" s="173" t="s">
        <v>106</v>
      </c>
      <c r="D22" s="107">
        <v>32826083191</v>
      </c>
      <c r="E22" s="106">
        <v>0</v>
      </c>
      <c r="F22" s="106">
        <v>0</v>
      </c>
      <c r="G22" s="106">
        <v>0</v>
      </c>
      <c r="H22" s="106">
        <v>0</v>
      </c>
      <c r="I22" s="80">
        <f t="shared" si="5"/>
        <v>32826083191</v>
      </c>
      <c r="J22" s="106">
        <v>0</v>
      </c>
      <c r="K22" s="106">
        <v>0</v>
      </c>
      <c r="L22" s="188" t="e">
        <f t="shared" si="1"/>
        <v>#DIV/0!</v>
      </c>
      <c r="M22" s="106"/>
      <c r="N22" s="106"/>
      <c r="O22" s="106"/>
      <c r="P22" s="106"/>
      <c r="Q22" s="106"/>
      <c r="R22" s="106"/>
      <c r="S22" s="106"/>
      <c r="T22" s="106"/>
      <c r="U22" s="106"/>
      <c r="V22" s="106">
        <v>0</v>
      </c>
      <c r="W22" s="64"/>
    </row>
    <row r="23" spans="1:66" s="15" customFormat="1" x14ac:dyDescent="0.2">
      <c r="A23" s="2"/>
      <c r="B23" s="4"/>
      <c r="C23" s="172" t="s">
        <v>10</v>
      </c>
      <c r="D23" s="105"/>
      <c r="E23" s="105">
        <v>0</v>
      </c>
      <c r="F23" s="105">
        <v>0</v>
      </c>
      <c r="G23" s="105">
        <v>0</v>
      </c>
      <c r="H23" s="105">
        <v>0</v>
      </c>
      <c r="I23" s="111">
        <f>+D23+E23-F23+G23-H23</f>
        <v>0</v>
      </c>
      <c r="J23" s="105">
        <v>0</v>
      </c>
      <c r="K23" s="105">
        <v>0</v>
      </c>
      <c r="L23" s="188" t="e">
        <f t="shared" si="1"/>
        <v>#DIV/0!</v>
      </c>
      <c r="M23" s="105"/>
      <c r="N23" s="105"/>
      <c r="O23" s="105"/>
      <c r="P23" s="105"/>
      <c r="Q23" s="105"/>
      <c r="R23" s="105"/>
      <c r="S23" s="105"/>
      <c r="T23" s="105"/>
      <c r="U23" s="105"/>
      <c r="V23" s="105">
        <v>0</v>
      </c>
      <c r="W23" s="64"/>
    </row>
    <row r="24" spans="1:66" s="11" customFormat="1" x14ac:dyDescent="0.2">
      <c r="A24" s="155"/>
      <c r="B24" s="14">
        <v>3</v>
      </c>
      <c r="C24" s="169" t="s">
        <v>11</v>
      </c>
      <c r="D24" s="102">
        <f>+D25</f>
        <v>0</v>
      </c>
      <c r="E24" s="102">
        <f>+E25+E26+E27</f>
        <v>0</v>
      </c>
      <c r="F24" s="102">
        <f>+F25+F26+F27</f>
        <v>0</v>
      </c>
      <c r="G24" s="102">
        <v>0</v>
      </c>
      <c r="H24" s="102">
        <v>0</v>
      </c>
      <c r="I24" s="111">
        <f>+D24+E24-F24+G24-H24</f>
        <v>0</v>
      </c>
      <c r="J24" s="102">
        <f t="shared" ref="J24:V24" si="13">+J25+J26+J27</f>
        <v>0</v>
      </c>
      <c r="K24" s="102">
        <f t="shared" si="13"/>
        <v>0</v>
      </c>
      <c r="L24" s="188" t="e">
        <f t="shared" si="1"/>
        <v>#DIV/0!</v>
      </c>
      <c r="M24" s="102"/>
      <c r="N24" s="102"/>
      <c r="O24" s="102"/>
      <c r="P24" s="102"/>
      <c r="Q24" s="102"/>
      <c r="R24" s="102"/>
      <c r="S24" s="102"/>
      <c r="T24" s="102"/>
      <c r="U24" s="102"/>
      <c r="V24" s="102">
        <f t="shared" si="13"/>
        <v>0</v>
      </c>
      <c r="W24" s="64"/>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row>
    <row r="25" spans="1:66" s="11" customFormat="1" x14ac:dyDescent="0.2">
      <c r="A25" s="155"/>
      <c r="B25" s="13"/>
      <c r="C25" s="169" t="s">
        <v>12</v>
      </c>
      <c r="D25" s="102">
        <v>0</v>
      </c>
      <c r="E25" s="102">
        <v>0</v>
      </c>
      <c r="F25" s="102">
        <v>0</v>
      </c>
      <c r="G25" s="102">
        <v>0</v>
      </c>
      <c r="H25" s="102">
        <v>0</v>
      </c>
      <c r="I25" s="111">
        <f>+D25+E25-F25+G25-H25</f>
        <v>0</v>
      </c>
      <c r="J25" s="102">
        <v>0</v>
      </c>
      <c r="K25" s="83">
        <v>0</v>
      </c>
      <c r="L25" s="188" t="e">
        <f t="shared" si="1"/>
        <v>#DIV/0!</v>
      </c>
      <c r="M25" s="83"/>
      <c r="N25" s="83"/>
      <c r="O25" s="83"/>
      <c r="P25" s="83"/>
      <c r="Q25" s="83"/>
      <c r="R25" s="83"/>
      <c r="S25" s="83"/>
      <c r="T25" s="83"/>
      <c r="U25" s="83"/>
      <c r="V25" s="83">
        <v>0</v>
      </c>
      <c r="W25" s="64"/>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row>
    <row r="26" spans="1:66" s="15" customFormat="1" x14ac:dyDescent="0.2">
      <c r="A26" s="2"/>
      <c r="B26" s="4"/>
      <c r="C26" s="172" t="s">
        <v>13</v>
      </c>
      <c r="D26" s="105">
        <v>0</v>
      </c>
      <c r="E26" s="105">
        <v>0</v>
      </c>
      <c r="F26" s="105">
        <v>0</v>
      </c>
      <c r="G26" s="105">
        <v>0</v>
      </c>
      <c r="H26" s="105">
        <v>0</v>
      </c>
      <c r="I26" s="111">
        <f>+D26+E26-F26+G26-H26</f>
        <v>0</v>
      </c>
      <c r="J26" s="102"/>
      <c r="K26" s="102"/>
      <c r="L26" s="188" t="e">
        <f t="shared" si="1"/>
        <v>#DIV/0!</v>
      </c>
      <c r="M26" s="102"/>
      <c r="N26" s="102"/>
      <c r="O26" s="102"/>
      <c r="P26" s="102"/>
      <c r="Q26" s="102"/>
      <c r="R26" s="102"/>
      <c r="S26" s="102"/>
      <c r="T26" s="102"/>
      <c r="U26" s="102"/>
      <c r="V26" s="102"/>
      <c r="W26" s="64"/>
    </row>
    <row r="27" spans="1:66" s="11" customFormat="1" x14ac:dyDescent="0.2">
      <c r="A27" s="155"/>
      <c r="B27" s="13"/>
      <c r="C27" s="169" t="s">
        <v>14</v>
      </c>
      <c r="D27" s="102">
        <v>0</v>
      </c>
      <c r="E27" s="102">
        <v>0</v>
      </c>
      <c r="F27" s="102">
        <v>0</v>
      </c>
      <c r="G27" s="102">
        <v>0</v>
      </c>
      <c r="H27" s="102">
        <v>0</v>
      </c>
      <c r="I27" s="111">
        <f>+D27+E27-F27+G27-H27</f>
        <v>0</v>
      </c>
      <c r="J27" s="102"/>
      <c r="K27" s="102"/>
      <c r="L27" s="188" t="e">
        <f t="shared" si="1"/>
        <v>#DIV/0!</v>
      </c>
      <c r="M27" s="102"/>
      <c r="N27" s="102"/>
      <c r="O27" s="102"/>
      <c r="P27" s="102"/>
      <c r="Q27" s="102"/>
      <c r="R27" s="102"/>
      <c r="S27" s="102"/>
      <c r="T27" s="102"/>
      <c r="U27" s="102"/>
      <c r="V27" s="102"/>
      <c r="W27" s="64"/>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row>
    <row r="28" spans="1:66" s="22" customFormat="1" x14ac:dyDescent="0.2">
      <c r="A28" s="156"/>
      <c r="B28" s="21" t="s">
        <v>34</v>
      </c>
      <c r="C28" s="174" t="s">
        <v>33</v>
      </c>
      <c r="D28" s="110">
        <f>D5+D9+D24</f>
        <v>192551188108.51001</v>
      </c>
      <c r="E28" s="110">
        <f t="shared" ref="E28:V28" si="14">+E5+E9+E24</f>
        <v>0</v>
      </c>
      <c r="F28" s="110">
        <f t="shared" si="14"/>
        <v>0</v>
      </c>
      <c r="G28" s="110">
        <f t="shared" si="14"/>
        <v>0</v>
      </c>
      <c r="H28" s="110">
        <f t="shared" si="14"/>
        <v>0</v>
      </c>
      <c r="I28" s="110">
        <f t="shared" si="14"/>
        <v>192551188108.51001</v>
      </c>
      <c r="J28" s="110">
        <f t="shared" si="14"/>
        <v>0</v>
      </c>
      <c r="K28" s="110">
        <f t="shared" si="14"/>
        <v>0</v>
      </c>
      <c r="L28" s="188" t="e">
        <f t="shared" si="1"/>
        <v>#DIV/0!</v>
      </c>
      <c r="M28" s="110"/>
      <c r="N28" s="110"/>
      <c r="O28" s="110"/>
      <c r="P28" s="110"/>
      <c r="Q28" s="110"/>
      <c r="R28" s="110"/>
      <c r="S28" s="110"/>
      <c r="T28" s="110"/>
      <c r="U28" s="110"/>
      <c r="V28" s="110">
        <f t="shared" si="14"/>
        <v>0</v>
      </c>
      <c r="W28" s="64"/>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row>
    <row r="29" spans="1:66" s="2" customFormat="1" x14ac:dyDescent="0.2">
      <c r="B29" s="4">
        <v>1</v>
      </c>
      <c r="C29" s="172" t="s">
        <v>38</v>
      </c>
      <c r="D29" s="105">
        <f t="shared" ref="D29:H29" si="15">+D30+D74</f>
        <v>101909465820.87221</v>
      </c>
      <c r="E29" s="105">
        <f t="shared" si="15"/>
        <v>0</v>
      </c>
      <c r="F29" s="105">
        <f t="shared" si="15"/>
        <v>0</v>
      </c>
      <c r="G29" s="105">
        <f t="shared" si="15"/>
        <v>0</v>
      </c>
      <c r="H29" s="105">
        <f t="shared" si="15"/>
        <v>0</v>
      </c>
      <c r="I29" s="105">
        <f>+I30+I74</f>
        <v>101909465820.87221</v>
      </c>
      <c r="J29" s="105">
        <f t="shared" ref="J29:V29" si="16">+J30+J74</f>
        <v>0</v>
      </c>
      <c r="K29" s="105">
        <f t="shared" si="16"/>
        <v>0</v>
      </c>
      <c r="L29" s="188" t="e">
        <f t="shared" si="1"/>
        <v>#DIV/0!</v>
      </c>
      <c r="M29" s="105"/>
      <c r="N29" s="105"/>
      <c r="O29" s="105"/>
      <c r="P29" s="105"/>
      <c r="Q29" s="105"/>
      <c r="R29" s="105"/>
      <c r="S29" s="105"/>
      <c r="T29" s="105"/>
      <c r="U29" s="105"/>
      <c r="V29" s="105">
        <f t="shared" si="16"/>
        <v>0</v>
      </c>
      <c r="W29" s="64"/>
    </row>
    <row r="30" spans="1:66" s="11" customFormat="1" x14ac:dyDescent="0.2">
      <c r="A30" s="155"/>
      <c r="B30" s="13" t="s">
        <v>59</v>
      </c>
      <c r="C30" s="169" t="s">
        <v>15</v>
      </c>
      <c r="D30" s="111">
        <f>+D31+D38+D46+D49+D65+D67+D71+0.01</f>
        <v>11768629792.902225</v>
      </c>
      <c r="E30" s="111">
        <f>+E31+E38+E46+E49+E65+E67+E71</f>
        <v>0</v>
      </c>
      <c r="F30" s="111">
        <f>+F31+F38+F46+F49+F65+F67+F71</f>
        <v>0</v>
      </c>
      <c r="G30" s="111">
        <f>+G31+G38+G46+G49+G65+G67+G71</f>
        <v>0</v>
      </c>
      <c r="H30" s="111">
        <f>+H31+H38+H46+H49+H65+H67+H71</f>
        <v>0</v>
      </c>
      <c r="I30" s="111">
        <f>+D30+E30-F30+G30-H30</f>
        <v>11768629792.902225</v>
      </c>
      <c r="J30" s="111">
        <f>+J31+J38+J46+J49+J65+J67</f>
        <v>0</v>
      </c>
      <c r="K30" s="111">
        <f t="shared" ref="K30:V30" si="17">+K31+K38+K46+K49+K65+K67</f>
        <v>0</v>
      </c>
      <c r="L30" s="188" t="e">
        <f t="shared" si="1"/>
        <v>#DIV/0!</v>
      </c>
      <c r="M30" s="111"/>
      <c r="N30" s="111"/>
      <c r="O30" s="111"/>
      <c r="P30" s="111"/>
      <c r="Q30" s="111"/>
      <c r="R30" s="111"/>
      <c r="S30" s="111"/>
      <c r="T30" s="111"/>
      <c r="U30" s="111"/>
      <c r="V30" s="111">
        <f t="shared" si="17"/>
        <v>0</v>
      </c>
      <c r="W30" s="64"/>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row>
    <row r="31" spans="1:66" s="17" customFormat="1" x14ac:dyDescent="0.2">
      <c r="A31" s="154"/>
      <c r="B31" s="23" t="s">
        <v>68</v>
      </c>
      <c r="C31" s="5" t="s">
        <v>69</v>
      </c>
      <c r="D31" s="76">
        <f>SUM(D32:D37)</f>
        <v>5543330440.8199997</v>
      </c>
      <c r="E31" s="76">
        <f>SUM(E32:E37)</f>
        <v>0</v>
      </c>
      <c r="F31" s="76">
        <f>SUM(F32:F37)</f>
        <v>0</v>
      </c>
      <c r="G31" s="76">
        <f>SUM(G32:G37)</f>
        <v>0</v>
      </c>
      <c r="H31" s="76">
        <f>SUM(H32:H37)</f>
        <v>0</v>
      </c>
      <c r="I31" s="76">
        <f>+D31+E31-F31+G31-H31</f>
        <v>5543330440.8199997</v>
      </c>
      <c r="J31" s="76">
        <f>SUM(J32:J37)</f>
        <v>0</v>
      </c>
      <c r="K31" s="76">
        <f t="shared" ref="K31:V31" si="18">SUM(K32:K37)</f>
        <v>0</v>
      </c>
      <c r="L31" s="188" t="e">
        <f t="shared" si="1"/>
        <v>#DIV/0!</v>
      </c>
      <c r="M31" s="76"/>
      <c r="N31" s="76"/>
      <c r="O31" s="76"/>
      <c r="P31" s="76"/>
      <c r="Q31" s="76"/>
      <c r="R31" s="76"/>
      <c r="S31" s="76"/>
      <c r="T31" s="76"/>
      <c r="U31" s="76"/>
      <c r="V31" s="76">
        <f t="shared" si="18"/>
        <v>0</v>
      </c>
      <c r="W31" s="64"/>
    </row>
    <row r="32" spans="1:66" s="17" customFormat="1" ht="13.5" x14ac:dyDescent="0.2">
      <c r="A32" s="154"/>
      <c r="B32" s="7" t="s">
        <v>70</v>
      </c>
      <c r="C32" s="175" t="s">
        <v>58</v>
      </c>
      <c r="D32" s="82">
        <v>4472092723</v>
      </c>
      <c r="E32" s="112">
        <v>0</v>
      </c>
      <c r="F32" s="79">
        <v>0</v>
      </c>
      <c r="G32" s="79">
        <v>0</v>
      </c>
      <c r="H32" s="79">
        <v>0</v>
      </c>
      <c r="I32" s="79">
        <f t="shared" ref="I32:I37" si="19">+D32+E32-F32+G32-H32</f>
        <v>4472092723</v>
      </c>
      <c r="J32" s="79">
        <v>0</v>
      </c>
      <c r="K32" s="79">
        <v>0</v>
      </c>
      <c r="L32" s="188" t="e">
        <f t="shared" si="1"/>
        <v>#DIV/0!</v>
      </c>
      <c r="M32" s="79"/>
      <c r="N32" s="79"/>
      <c r="O32" s="79"/>
      <c r="P32" s="79"/>
      <c r="Q32" s="79"/>
      <c r="R32" s="79"/>
      <c r="S32" s="79"/>
      <c r="T32" s="79"/>
      <c r="U32" s="79"/>
      <c r="V32" s="79">
        <v>0</v>
      </c>
      <c r="W32" s="64"/>
    </row>
    <row r="33" spans="1:23" s="17" customFormat="1" ht="13.5" x14ac:dyDescent="0.2">
      <c r="A33" s="154"/>
      <c r="B33" s="7" t="s">
        <v>60</v>
      </c>
      <c r="C33" s="176" t="s">
        <v>61</v>
      </c>
      <c r="D33" s="82">
        <v>192346888</v>
      </c>
      <c r="E33" s="112">
        <v>0</v>
      </c>
      <c r="F33" s="79">
        <v>0</v>
      </c>
      <c r="G33" s="79">
        <v>0</v>
      </c>
      <c r="H33" s="79">
        <v>0</v>
      </c>
      <c r="I33" s="118">
        <f t="shared" si="19"/>
        <v>192346888</v>
      </c>
      <c r="J33" s="118">
        <v>0</v>
      </c>
      <c r="K33" s="118">
        <v>0</v>
      </c>
      <c r="L33" s="188" t="e">
        <f t="shared" si="1"/>
        <v>#DIV/0!</v>
      </c>
      <c r="M33" s="118"/>
      <c r="N33" s="118"/>
      <c r="O33" s="118"/>
      <c r="P33" s="118"/>
      <c r="Q33" s="118"/>
      <c r="R33" s="118"/>
      <c r="S33" s="118"/>
      <c r="T33" s="118"/>
      <c r="U33" s="118"/>
      <c r="V33" s="118">
        <v>0</v>
      </c>
      <c r="W33" s="64"/>
    </row>
    <row r="34" spans="1:23" s="17" customFormat="1" ht="13.5" x14ac:dyDescent="0.2">
      <c r="A34" s="154"/>
      <c r="B34" s="7" t="s">
        <v>62</v>
      </c>
      <c r="C34" s="176" t="s">
        <v>44</v>
      </c>
      <c r="D34" s="82">
        <v>130827033</v>
      </c>
      <c r="E34" s="112">
        <v>0</v>
      </c>
      <c r="F34" s="79">
        <v>0</v>
      </c>
      <c r="G34" s="79">
        <v>0</v>
      </c>
      <c r="H34" s="79">
        <v>0</v>
      </c>
      <c r="I34" s="79">
        <f t="shared" si="19"/>
        <v>130827033</v>
      </c>
      <c r="J34" s="79">
        <v>0</v>
      </c>
      <c r="K34" s="79">
        <v>0</v>
      </c>
      <c r="L34" s="188" t="e">
        <f t="shared" si="1"/>
        <v>#DIV/0!</v>
      </c>
      <c r="M34" s="79"/>
      <c r="N34" s="79"/>
      <c r="O34" s="79"/>
      <c r="P34" s="79"/>
      <c r="Q34" s="79"/>
      <c r="R34" s="79"/>
      <c r="S34" s="79"/>
      <c r="T34" s="79"/>
      <c r="U34" s="79"/>
      <c r="V34" s="79">
        <v>0</v>
      </c>
      <c r="W34" s="64"/>
    </row>
    <row r="35" spans="1:23" s="17" customFormat="1" ht="13.5" x14ac:dyDescent="0.2">
      <c r="A35" s="154"/>
      <c r="B35" s="7" t="s">
        <v>135</v>
      </c>
      <c r="C35" s="176" t="s">
        <v>63</v>
      </c>
      <c r="D35" s="82">
        <v>434116239</v>
      </c>
      <c r="E35" s="112">
        <v>0</v>
      </c>
      <c r="F35" s="79">
        <v>0</v>
      </c>
      <c r="G35" s="79">
        <v>0</v>
      </c>
      <c r="H35" s="79">
        <v>0</v>
      </c>
      <c r="I35" s="118">
        <f t="shared" si="19"/>
        <v>434116239</v>
      </c>
      <c r="J35" s="118">
        <v>0</v>
      </c>
      <c r="K35" s="118">
        <v>0</v>
      </c>
      <c r="L35" s="188" t="e">
        <f t="shared" si="1"/>
        <v>#DIV/0!</v>
      </c>
      <c r="M35" s="118"/>
      <c r="N35" s="118"/>
      <c r="O35" s="118"/>
      <c r="P35" s="118"/>
      <c r="Q35" s="118"/>
      <c r="R35" s="118"/>
      <c r="S35" s="118"/>
      <c r="T35" s="118"/>
      <c r="U35" s="118"/>
      <c r="V35" s="118">
        <v>0</v>
      </c>
      <c r="W35" s="64"/>
    </row>
    <row r="36" spans="1:23" s="17" customFormat="1" ht="13.5" x14ac:dyDescent="0.2">
      <c r="A36" s="154"/>
      <c r="B36" s="7" t="s">
        <v>64</v>
      </c>
      <c r="C36" s="176" t="s">
        <v>65</v>
      </c>
      <c r="D36" s="82">
        <v>300542011.81999999</v>
      </c>
      <c r="E36" s="112">
        <v>0</v>
      </c>
      <c r="F36" s="79">
        <v>0</v>
      </c>
      <c r="G36" s="79">
        <v>0</v>
      </c>
      <c r="H36" s="79">
        <v>0</v>
      </c>
      <c r="I36" s="118">
        <f t="shared" si="19"/>
        <v>300542011.81999999</v>
      </c>
      <c r="J36" s="118">
        <v>0</v>
      </c>
      <c r="K36" s="118">
        <v>0</v>
      </c>
      <c r="L36" s="188" t="e">
        <f t="shared" si="1"/>
        <v>#DIV/0!</v>
      </c>
      <c r="M36" s="118"/>
      <c r="N36" s="118"/>
      <c r="O36" s="118"/>
      <c r="P36" s="118"/>
      <c r="Q36" s="118"/>
      <c r="R36" s="118"/>
      <c r="S36" s="118"/>
      <c r="T36" s="118"/>
      <c r="U36" s="118"/>
      <c r="V36" s="118">
        <v>0</v>
      </c>
      <c r="W36" s="64"/>
    </row>
    <row r="37" spans="1:23" s="17" customFormat="1" ht="13.5" x14ac:dyDescent="0.2">
      <c r="A37" s="154"/>
      <c r="B37" s="7" t="s">
        <v>66</v>
      </c>
      <c r="C37" s="176" t="s">
        <v>67</v>
      </c>
      <c r="D37" s="82">
        <v>13405546</v>
      </c>
      <c r="E37" s="112">
        <v>0</v>
      </c>
      <c r="F37" s="79">
        <v>0</v>
      </c>
      <c r="G37" s="79">
        <v>0</v>
      </c>
      <c r="H37" s="79">
        <v>0</v>
      </c>
      <c r="I37" s="118">
        <f t="shared" si="19"/>
        <v>13405546</v>
      </c>
      <c r="J37" s="118">
        <v>0</v>
      </c>
      <c r="K37" s="118">
        <v>0</v>
      </c>
      <c r="L37" s="188" t="e">
        <f t="shared" si="1"/>
        <v>#DIV/0!</v>
      </c>
      <c r="M37" s="118"/>
      <c r="N37" s="118"/>
      <c r="O37" s="118"/>
      <c r="P37" s="118"/>
      <c r="Q37" s="118"/>
      <c r="R37" s="118"/>
      <c r="S37" s="118"/>
      <c r="T37" s="118"/>
      <c r="U37" s="118"/>
      <c r="V37" s="118">
        <v>0</v>
      </c>
      <c r="W37" s="64"/>
    </row>
    <row r="38" spans="1:23" s="17" customFormat="1" x14ac:dyDescent="0.2">
      <c r="A38" s="154"/>
      <c r="B38" s="23" t="s">
        <v>71</v>
      </c>
      <c r="C38" s="5" t="s">
        <v>72</v>
      </c>
      <c r="D38" s="76">
        <f>SUM(D39:D45)</f>
        <v>2253421642</v>
      </c>
      <c r="E38" s="76">
        <f>SUM(E39:E45)</f>
        <v>0</v>
      </c>
      <c r="F38" s="76">
        <f>SUM(F39:F45)</f>
        <v>0</v>
      </c>
      <c r="G38" s="76">
        <f>SUM(G39:G45)</f>
        <v>0</v>
      </c>
      <c r="H38" s="76">
        <f>SUM(H39:H45)</f>
        <v>0</v>
      </c>
      <c r="I38" s="76">
        <f>+D38+E38-F38+G38-H38</f>
        <v>2253421642</v>
      </c>
      <c r="J38" s="76">
        <f t="shared" ref="J38:V38" si="20">SUM(J39:J45)</f>
        <v>0</v>
      </c>
      <c r="K38" s="76">
        <f t="shared" si="20"/>
        <v>0</v>
      </c>
      <c r="L38" s="188" t="e">
        <f t="shared" si="1"/>
        <v>#DIV/0!</v>
      </c>
      <c r="M38" s="76"/>
      <c r="N38" s="76"/>
      <c r="O38" s="76"/>
      <c r="P38" s="76"/>
      <c r="Q38" s="76"/>
      <c r="R38" s="76"/>
      <c r="S38" s="76"/>
      <c r="T38" s="76"/>
      <c r="U38" s="76"/>
      <c r="V38" s="76">
        <f t="shared" si="20"/>
        <v>0</v>
      </c>
      <c r="W38" s="64"/>
    </row>
    <row r="39" spans="1:23" s="17" customFormat="1" ht="13.5" x14ac:dyDescent="0.2">
      <c r="A39" s="154"/>
      <c r="B39" s="7" t="s">
        <v>73</v>
      </c>
      <c r="C39" s="176" t="s">
        <v>74</v>
      </c>
      <c r="D39" s="82">
        <v>653165372</v>
      </c>
      <c r="E39" s="112">
        <v>0</v>
      </c>
      <c r="F39" s="79">
        <v>0</v>
      </c>
      <c r="G39" s="79">
        <v>0</v>
      </c>
      <c r="H39" s="79">
        <v>0</v>
      </c>
      <c r="I39" s="79">
        <f t="shared" ref="I39:I45" si="21">+D39+E39-F39+G39-H39</f>
        <v>653165372</v>
      </c>
      <c r="J39" s="118">
        <v>0</v>
      </c>
      <c r="K39" s="118">
        <v>0</v>
      </c>
      <c r="L39" s="188" t="e">
        <f t="shared" si="1"/>
        <v>#DIV/0!</v>
      </c>
      <c r="M39" s="118"/>
      <c r="N39" s="118"/>
      <c r="O39" s="118"/>
      <c r="P39" s="118"/>
      <c r="Q39" s="118"/>
      <c r="R39" s="118"/>
      <c r="S39" s="118"/>
      <c r="T39" s="118"/>
      <c r="U39" s="118"/>
      <c r="V39" s="118">
        <v>0</v>
      </c>
      <c r="W39" s="64"/>
    </row>
    <row r="40" spans="1:23" s="17" customFormat="1" ht="13.5" x14ac:dyDescent="0.2">
      <c r="A40" s="154"/>
      <c r="B40" s="7" t="s">
        <v>75</v>
      </c>
      <c r="C40" s="176" t="s">
        <v>76</v>
      </c>
      <c r="D40" s="82">
        <v>462658805</v>
      </c>
      <c r="E40" s="112">
        <v>0</v>
      </c>
      <c r="F40" s="79">
        <v>0</v>
      </c>
      <c r="G40" s="79">
        <v>0</v>
      </c>
      <c r="H40" s="79">
        <v>0</v>
      </c>
      <c r="I40" s="79">
        <f t="shared" si="21"/>
        <v>462658805</v>
      </c>
      <c r="J40" s="118">
        <v>0</v>
      </c>
      <c r="K40" s="118">
        <v>0</v>
      </c>
      <c r="L40" s="188" t="e">
        <f t="shared" si="1"/>
        <v>#DIV/0!</v>
      </c>
      <c r="M40" s="118"/>
      <c r="N40" s="118"/>
      <c r="O40" s="118"/>
      <c r="P40" s="118"/>
      <c r="Q40" s="118"/>
      <c r="R40" s="118"/>
      <c r="S40" s="118"/>
      <c r="T40" s="118"/>
      <c r="U40" s="118"/>
      <c r="V40" s="118">
        <v>0</v>
      </c>
      <c r="W40" s="64"/>
    </row>
    <row r="41" spans="1:23" s="17" customFormat="1" ht="13.5" x14ac:dyDescent="0.2">
      <c r="A41" s="154"/>
      <c r="B41" s="7" t="s">
        <v>77</v>
      </c>
      <c r="C41" s="176" t="s">
        <v>78</v>
      </c>
      <c r="D41" s="82">
        <v>454263685</v>
      </c>
      <c r="E41" s="112">
        <v>0</v>
      </c>
      <c r="F41" s="79">
        <v>0</v>
      </c>
      <c r="G41" s="79">
        <v>0</v>
      </c>
      <c r="H41" s="79">
        <v>0</v>
      </c>
      <c r="I41" s="79">
        <f t="shared" si="21"/>
        <v>454263685</v>
      </c>
      <c r="J41" s="118">
        <v>0</v>
      </c>
      <c r="K41" s="118">
        <v>0</v>
      </c>
      <c r="L41" s="188" t="e">
        <f t="shared" si="1"/>
        <v>#DIV/0!</v>
      </c>
      <c r="M41" s="118"/>
      <c r="N41" s="118"/>
      <c r="O41" s="118"/>
      <c r="P41" s="118"/>
      <c r="Q41" s="118"/>
      <c r="R41" s="118"/>
      <c r="S41" s="118"/>
      <c r="T41" s="118"/>
      <c r="U41" s="118"/>
      <c r="V41" s="118">
        <v>0</v>
      </c>
      <c r="W41" s="64"/>
    </row>
    <row r="42" spans="1:23" s="17" customFormat="1" ht="13.5" x14ac:dyDescent="0.2">
      <c r="A42" s="154"/>
      <c r="B42" s="7" t="s">
        <v>79</v>
      </c>
      <c r="C42" s="176" t="s">
        <v>80</v>
      </c>
      <c r="D42" s="82">
        <v>244773871</v>
      </c>
      <c r="E42" s="112">
        <v>0</v>
      </c>
      <c r="F42" s="79">
        <v>0</v>
      </c>
      <c r="G42" s="79">
        <v>0</v>
      </c>
      <c r="H42" s="79">
        <v>0</v>
      </c>
      <c r="I42" s="79">
        <f t="shared" si="21"/>
        <v>244773871</v>
      </c>
      <c r="J42" s="118">
        <v>0</v>
      </c>
      <c r="K42" s="118">
        <v>0</v>
      </c>
      <c r="L42" s="188" t="e">
        <f t="shared" si="1"/>
        <v>#DIV/0!</v>
      </c>
      <c r="M42" s="118"/>
      <c r="N42" s="118"/>
      <c r="O42" s="118"/>
      <c r="P42" s="118"/>
      <c r="Q42" s="118"/>
      <c r="R42" s="118"/>
      <c r="S42" s="118"/>
      <c r="T42" s="118"/>
      <c r="U42" s="118"/>
      <c r="V42" s="118">
        <v>0</v>
      </c>
      <c r="W42" s="64"/>
    </row>
    <row r="43" spans="1:23" s="17" customFormat="1" ht="13.5" x14ac:dyDescent="0.2">
      <c r="A43" s="154"/>
      <c r="B43" s="7" t="s">
        <v>81</v>
      </c>
      <c r="C43" s="176" t="s">
        <v>82</v>
      </c>
      <c r="D43" s="82">
        <v>132592571</v>
      </c>
      <c r="E43" s="112">
        <v>0</v>
      </c>
      <c r="F43" s="79">
        <v>0</v>
      </c>
      <c r="G43" s="79">
        <v>0</v>
      </c>
      <c r="H43" s="79">
        <v>0</v>
      </c>
      <c r="I43" s="79">
        <f t="shared" si="21"/>
        <v>132592571</v>
      </c>
      <c r="J43" s="118">
        <v>0</v>
      </c>
      <c r="K43" s="118">
        <v>0</v>
      </c>
      <c r="L43" s="188" t="e">
        <f t="shared" si="1"/>
        <v>#DIV/0!</v>
      </c>
      <c r="M43" s="118"/>
      <c r="N43" s="118"/>
      <c r="O43" s="118"/>
      <c r="P43" s="118"/>
      <c r="Q43" s="118"/>
      <c r="R43" s="118"/>
      <c r="S43" s="118"/>
      <c r="T43" s="118"/>
      <c r="U43" s="118"/>
      <c r="V43" s="118">
        <v>0</v>
      </c>
      <c r="W43" s="64"/>
    </row>
    <row r="44" spans="1:23" s="17" customFormat="1" ht="13.5" x14ac:dyDescent="0.2">
      <c r="A44" s="154"/>
      <c r="B44" s="7" t="s">
        <v>83</v>
      </c>
      <c r="C44" s="176" t="s">
        <v>84</v>
      </c>
      <c r="D44" s="82">
        <v>183580403</v>
      </c>
      <c r="E44" s="112">
        <v>0</v>
      </c>
      <c r="F44" s="79">
        <v>0</v>
      </c>
      <c r="G44" s="79">
        <v>0</v>
      </c>
      <c r="H44" s="79">
        <v>0</v>
      </c>
      <c r="I44" s="79">
        <f t="shared" si="21"/>
        <v>183580403</v>
      </c>
      <c r="J44" s="118">
        <v>0</v>
      </c>
      <c r="K44" s="118">
        <v>0</v>
      </c>
      <c r="L44" s="188" t="e">
        <f t="shared" si="1"/>
        <v>#DIV/0!</v>
      </c>
      <c r="M44" s="118"/>
      <c r="N44" s="118"/>
      <c r="O44" s="118"/>
      <c r="P44" s="118"/>
      <c r="Q44" s="118"/>
      <c r="R44" s="118"/>
      <c r="S44" s="118"/>
      <c r="T44" s="118"/>
      <c r="U44" s="118"/>
      <c r="V44" s="118">
        <v>0</v>
      </c>
      <c r="W44" s="64"/>
    </row>
    <row r="45" spans="1:23" s="17" customFormat="1" ht="13.5" x14ac:dyDescent="0.2">
      <c r="A45" s="154"/>
      <c r="B45" s="7" t="s">
        <v>85</v>
      </c>
      <c r="C45" s="176" t="s">
        <v>86</v>
      </c>
      <c r="D45" s="82">
        <v>122386935</v>
      </c>
      <c r="E45" s="112">
        <v>0</v>
      </c>
      <c r="F45" s="79">
        <v>0</v>
      </c>
      <c r="G45" s="79">
        <v>0</v>
      </c>
      <c r="H45" s="79">
        <v>0</v>
      </c>
      <c r="I45" s="79">
        <f t="shared" si="21"/>
        <v>122386935</v>
      </c>
      <c r="J45" s="118">
        <v>0</v>
      </c>
      <c r="K45" s="118">
        <v>0</v>
      </c>
      <c r="L45" s="188" t="e">
        <f t="shared" si="1"/>
        <v>#DIV/0!</v>
      </c>
      <c r="M45" s="118"/>
      <c r="N45" s="118"/>
      <c r="O45" s="118"/>
      <c r="P45" s="118"/>
      <c r="Q45" s="118"/>
      <c r="R45" s="118"/>
      <c r="S45" s="118"/>
      <c r="T45" s="118"/>
      <c r="U45" s="118"/>
      <c r="V45" s="118">
        <v>0</v>
      </c>
      <c r="W45" s="64"/>
    </row>
    <row r="46" spans="1:23" s="17" customFormat="1" ht="25.5" x14ac:dyDescent="0.2">
      <c r="A46" s="154"/>
      <c r="B46" s="23" t="s">
        <v>87</v>
      </c>
      <c r="C46" s="5" t="s">
        <v>88</v>
      </c>
      <c r="D46" s="76">
        <f>SUM(D47:D48)</f>
        <v>257505524.62222588</v>
      </c>
      <c r="E46" s="76">
        <f>SUM(E47:E48)</f>
        <v>0</v>
      </c>
      <c r="F46" s="76">
        <f>SUM(F47:F48)</f>
        <v>0</v>
      </c>
      <c r="G46" s="76">
        <f>SUM(G47:G48)</f>
        <v>0</v>
      </c>
      <c r="H46" s="76">
        <f>SUM(H47:H48)</f>
        <v>0</v>
      </c>
      <c r="I46" s="76">
        <f>+D46+E46-F46+G46-H46</f>
        <v>257505524.62222588</v>
      </c>
      <c r="J46" s="76">
        <f t="shared" ref="J46:V46" si="22">SUM(J47:J48)</f>
        <v>0</v>
      </c>
      <c r="K46" s="76">
        <f t="shared" si="22"/>
        <v>0</v>
      </c>
      <c r="L46" s="188" t="e">
        <f t="shared" si="1"/>
        <v>#DIV/0!</v>
      </c>
      <c r="M46" s="76"/>
      <c r="N46" s="76"/>
      <c r="O46" s="76"/>
      <c r="P46" s="76"/>
      <c r="Q46" s="76"/>
      <c r="R46" s="76"/>
      <c r="S46" s="76"/>
      <c r="T46" s="76"/>
      <c r="U46" s="76"/>
      <c r="V46" s="76">
        <f t="shared" si="22"/>
        <v>0</v>
      </c>
      <c r="W46" s="64"/>
    </row>
    <row r="47" spans="1:23" s="17" customFormat="1" ht="13.5" x14ac:dyDescent="0.2">
      <c r="A47" s="154"/>
      <c r="B47" s="7" t="s">
        <v>89</v>
      </c>
      <c r="C47" s="176" t="s">
        <v>90</v>
      </c>
      <c r="D47" s="82">
        <v>212650541.93446589</v>
      </c>
      <c r="E47" s="112">
        <v>0</v>
      </c>
      <c r="F47" s="79">
        <v>0</v>
      </c>
      <c r="G47" s="79">
        <v>0</v>
      </c>
      <c r="H47" s="79">
        <v>0</v>
      </c>
      <c r="I47" s="79">
        <f>+D47+E47-F47+G47-H47</f>
        <v>212650541.93446589</v>
      </c>
      <c r="J47" s="118">
        <v>0</v>
      </c>
      <c r="K47" s="118">
        <v>0</v>
      </c>
      <c r="L47" s="188" t="e">
        <f t="shared" si="1"/>
        <v>#DIV/0!</v>
      </c>
      <c r="M47" s="118"/>
      <c r="N47" s="118"/>
      <c r="O47" s="118"/>
      <c r="P47" s="118"/>
      <c r="Q47" s="118"/>
      <c r="R47" s="118"/>
      <c r="S47" s="118"/>
      <c r="T47" s="118"/>
      <c r="U47" s="118"/>
      <c r="V47" s="118">
        <v>0</v>
      </c>
      <c r="W47" s="64"/>
    </row>
    <row r="48" spans="1:23" s="17" customFormat="1" ht="13.5" x14ac:dyDescent="0.2">
      <c r="A48" s="154"/>
      <c r="B48" s="7" t="s">
        <v>91</v>
      </c>
      <c r="C48" s="176" t="s">
        <v>92</v>
      </c>
      <c r="D48" s="82">
        <v>44854982.68776001</v>
      </c>
      <c r="E48" s="112">
        <v>0</v>
      </c>
      <c r="F48" s="79">
        <v>0</v>
      </c>
      <c r="G48" s="79">
        <v>0</v>
      </c>
      <c r="H48" s="79">
        <v>0</v>
      </c>
      <c r="I48" s="79">
        <f>+D48+E48-F48+G48-H48</f>
        <v>44854982.68776001</v>
      </c>
      <c r="J48" s="118">
        <v>0</v>
      </c>
      <c r="K48" s="118">
        <v>0</v>
      </c>
      <c r="L48" s="188" t="e">
        <f t="shared" si="1"/>
        <v>#DIV/0!</v>
      </c>
      <c r="M48" s="118"/>
      <c r="N48" s="118"/>
      <c r="O48" s="118"/>
      <c r="P48" s="118"/>
      <c r="Q48" s="118"/>
      <c r="R48" s="118"/>
      <c r="S48" s="118"/>
      <c r="T48" s="118"/>
      <c r="U48" s="118"/>
      <c r="V48" s="118">
        <v>0</v>
      </c>
      <c r="W48" s="64"/>
    </row>
    <row r="49" spans="1:23" s="12" customFormat="1" x14ac:dyDescent="0.2">
      <c r="A49" s="154"/>
      <c r="B49" s="24" t="s">
        <v>93</v>
      </c>
      <c r="C49" s="27" t="s">
        <v>105</v>
      </c>
      <c r="D49" s="74">
        <f>+D50+D54+D57</f>
        <v>3273372185.4499998</v>
      </c>
      <c r="E49" s="74">
        <f>+E50+E54+E57</f>
        <v>0</v>
      </c>
      <c r="F49" s="74">
        <f>+F50+F54+F57</f>
        <v>0</v>
      </c>
      <c r="G49" s="74">
        <f>+G50+G54+G57</f>
        <v>0</v>
      </c>
      <c r="H49" s="74">
        <f>+H50+H54+H57</f>
        <v>0</v>
      </c>
      <c r="I49" s="74">
        <f t="shared" ref="I49:I75" si="23">+D49+E49-F49+G49-H49</f>
        <v>3273372185.4499998</v>
      </c>
      <c r="J49" s="74">
        <f>+J50+J54+J57</f>
        <v>0</v>
      </c>
      <c r="K49" s="74">
        <f t="shared" ref="K49:V49" si="24">+K50+K54+K57</f>
        <v>0</v>
      </c>
      <c r="L49" s="188" t="e">
        <f t="shared" si="1"/>
        <v>#DIV/0!</v>
      </c>
      <c r="M49" s="74"/>
      <c r="N49" s="74"/>
      <c r="O49" s="74"/>
      <c r="P49" s="74"/>
      <c r="Q49" s="74"/>
      <c r="R49" s="74"/>
      <c r="S49" s="74"/>
      <c r="T49" s="74"/>
      <c r="U49" s="74"/>
      <c r="V49" s="74">
        <f t="shared" si="24"/>
        <v>0</v>
      </c>
      <c r="W49" s="64"/>
    </row>
    <row r="50" spans="1:23" s="17" customFormat="1" x14ac:dyDescent="0.2">
      <c r="A50" s="154"/>
      <c r="B50" s="23" t="s">
        <v>94</v>
      </c>
      <c r="C50" s="5" t="s">
        <v>95</v>
      </c>
      <c r="D50" s="76">
        <f>+D51+D52+D53</f>
        <v>790000000</v>
      </c>
      <c r="E50" s="76">
        <f t="shared" ref="E50:I50" si="25">+E51+E52+E53</f>
        <v>0</v>
      </c>
      <c r="F50" s="76">
        <f t="shared" si="25"/>
        <v>0</v>
      </c>
      <c r="G50" s="76">
        <f t="shared" si="25"/>
        <v>0</v>
      </c>
      <c r="H50" s="76">
        <f t="shared" si="25"/>
        <v>0</v>
      </c>
      <c r="I50" s="76">
        <f t="shared" si="25"/>
        <v>790000000</v>
      </c>
      <c r="J50" s="76">
        <f>J51+J52+J53</f>
        <v>0</v>
      </c>
      <c r="K50" s="76">
        <f t="shared" ref="K50:V50" si="26">K51+K52+K53</f>
        <v>0</v>
      </c>
      <c r="L50" s="188" t="e">
        <f t="shared" si="1"/>
        <v>#DIV/0!</v>
      </c>
      <c r="M50" s="76"/>
      <c r="N50" s="76"/>
      <c r="O50" s="76"/>
      <c r="P50" s="76"/>
      <c r="Q50" s="76"/>
      <c r="R50" s="76"/>
      <c r="S50" s="76"/>
      <c r="T50" s="76"/>
      <c r="U50" s="76"/>
      <c r="V50" s="76">
        <f t="shared" si="26"/>
        <v>0</v>
      </c>
      <c r="W50" s="64"/>
    </row>
    <row r="51" spans="1:23" s="17" customFormat="1" ht="25.5" x14ac:dyDescent="0.2">
      <c r="A51" s="154"/>
      <c r="B51" s="7" t="s">
        <v>117</v>
      </c>
      <c r="C51" s="176" t="s">
        <v>118</v>
      </c>
      <c r="D51" s="82">
        <v>40000000</v>
      </c>
      <c r="E51" s="79">
        <v>0</v>
      </c>
      <c r="F51" s="79">
        <v>0</v>
      </c>
      <c r="G51" s="79">
        <v>0</v>
      </c>
      <c r="H51" s="79">
        <v>0</v>
      </c>
      <c r="I51" s="79">
        <f t="shared" si="23"/>
        <v>40000000</v>
      </c>
      <c r="J51" s="118">
        <v>0</v>
      </c>
      <c r="K51" s="118">
        <v>0</v>
      </c>
      <c r="L51" s="188" t="e">
        <f t="shared" si="1"/>
        <v>#DIV/0!</v>
      </c>
      <c r="M51" s="118"/>
      <c r="N51" s="118"/>
      <c r="O51" s="118"/>
      <c r="P51" s="118"/>
      <c r="Q51" s="118"/>
      <c r="R51" s="118"/>
      <c r="S51" s="118"/>
      <c r="T51" s="118"/>
      <c r="U51" s="118"/>
      <c r="V51" s="118">
        <v>0</v>
      </c>
      <c r="W51" s="64"/>
    </row>
    <row r="52" spans="1:23" s="17" customFormat="1" ht="25.5" x14ac:dyDescent="0.2">
      <c r="A52" s="154"/>
      <c r="B52" s="92" t="s">
        <v>204</v>
      </c>
      <c r="C52" s="176" t="s">
        <v>118</v>
      </c>
      <c r="D52" s="82">
        <v>350000000</v>
      </c>
      <c r="E52" s="79">
        <v>0</v>
      </c>
      <c r="F52" s="79">
        <v>0</v>
      </c>
      <c r="G52" s="79">
        <v>0</v>
      </c>
      <c r="H52" s="79">
        <v>0</v>
      </c>
      <c r="I52" s="79">
        <f t="shared" si="23"/>
        <v>350000000</v>
      </c>
      <c r="J52" s="118">
        <v>0</v>
      </c>
      <c r="K52" s="118">
        <v>0</v>
      </c>
      <c r="L52" s="188" t="e">
        <f t="shared" si="1"/>
        <v>#DIV/0!</v>
      </c>
      <c r="M52" s="118"/>
      <c r="N52" s="118"/>
      <c r="O52" s="118"/>
      <c r="P52" s="118"/>
      <c r="Q52" s="118"/>
      <c r="R52" s="118"/>
      <c r="S52" s="118"/>
      <c r="T52" s="118"/>
      <c r="U52" s="118"/>
      <c r="V52" s="118">
        <v>0</v>
      </c>
      <c r="W52" s="64"/>
    </row>
    <row r="53" spans="1:23" s="17" customFormat="1" ht="27" x14ac:dyDescent="0.2">
      <c r="A53" s="154"/>
      <c r="B53" s="97" t="s">
        <v>205</v>
      </c>
      <c r="C53" s="177" t="s">
        <v>206</v>
      </c>
      <c r="D53" s="82">
        <v>400000000</v>
      </c>
      <c r="E53" s="79">
        <v>0</v>
      </c>
      <c r="F53" s="79">
        <v>0</v>
      </c>
      <c r="G53" s="79">
        <v>0</v>
      </c>
      <c r="H53" s="79">
        <v>0</v>
      </c>
      <c r="I53" s="79">
        <f t="shared" si="23"/>
        <v>400000000</v>
      </c>
      <c r="J53" s="118">
        <v>0</v>
      </c>
      <c r="K53" s="118">
        <v>0</v>
      </c>
      <c r="L53" s="188" t="e">
        <f t="shared" si="1"/>
        <v>#DIV/0!</v>
      </c>
      <c r="M53" s="118"/>
      <c r="N53" s="118"/>
      <c r="O53" s="118"/>
      <c r="P53" s="118"/>
      <c r="Q53" s="118"/>
      <c r="R53" s="118"/>
      <c r="S53" s="118"/>
      <c r="T53" s="118"/>
      <c r="U53" s="118"/>
      <c r="V53" s="118">
        <v>0</v>
      </c>
      <c r="W53" s="64"/>
    </row>
    <row r="54" spans="1:23" s="17" customFormat="1" x14ac:dyDescent="0.2">
      <c r="A54" s="154"/>
      <c r="B54" s="23" t="s">
        <v>97</v>
      </c>
      <c r="C54" s="5" t="s">
        <v>98</v>
      </c>
      <c r="D54" s="76">
        <f>SUM(D55+D56)</f>
        <v>158464000</v>
      </c>
      <c r="E54" s="76">
        <f t="shared" ref="E54:I54" si="27">SUM(E55+E56)</f>
        <v>0</v>
      </c>
      <c r="F54" s="76">
        <f t="shared" si="27"/>
        <v>0</v>
      </c>
      <c r="G54" s="76">
        <f t="shared" si="27"/>
        <v>0</v>
      </c>
      <c r="H54" s="76">
        <f t="shared" si="27"/>
        <v>0</v>
      </c>
      <c r="I54" s="76">
        <f t="shared" si="27"/>
        <v>158464000</v>
      </c>
      <c r="J54" s="76">
        <f>J55+J56</f>
        <v>0</v>
      </c>
      <c r="K54" s="76">
        <f t="shared" ref="K54:V54" si="28">K55+K56</f>
        <v>0</v>
      </c>
      <c r="L54" s="188" t="e">
        <f t="shared" si="1"/>
        <v>#DIV/0!</v>
      </c>
      <c r="M54" s="76"/>
      <c r="N54" s="76"/>
      <c r="O54" s="76"/>
      <c r="P54" s="76"/>
      <c r="Q54" s="76"/>
      <c r="R54" s="76"/>
      <c r="S54" s="76"/>
      <c r="T54" s="76"/>
      <c r="U54" s="76"/>
      <c r="V54" s="76">
        <f t="shared" si="28"/>
        <v>0</v>
      </c>
      <c r="W54" s="64"/>
    </row>
    <row r="55" spans="1:23" s="17" customFormat="1" ht="25.5" x14ac:dyDescent="0.2">
      <c r="A55" s="154"/>
      <c r="B55" s="7" t="s">
        <v>111</v>
      </c>
      <c r="C55" s="176" t="s">
        <v>96</v>
      </c>
      <c r="D55" s="82">
        <v>143464000</v>
      </c>
      <c r="E55" s="112">
        <v>0</v>
      </c>
      <c r="F55" s="79">
        <v>0</v>
      </c>
      <c r="G55" s="79">
        <v>0</v>
      </c>
      <c r="H55" s="79">
        <v>0</v>
      </c>
      <c r="I55" s="79">
        <f>+D55+E55-F55+G55-H55</f>
        <v>143464000</v>
      </c>
      <c r="J55" s="118">
        <v>0</v>
      </c>
      <c r="K55" s="118">
        <v>0</v>
      </c>
      <c r="L55" s="188" t="e">
        <f t="shared" si="1"/>
        <v>#DIV/0!</v>
      </c>
      <c r="M55" s="118"/>
      <c r="N55" s="118"/>
      <c r="O55" s="118"/>
      <c r="P55" s="118"/>
      <c r="Q55" s="118"/>
      <c r="R55" s="118"/>
      <c r="S55" s="118"/>
      <c r="T55" s="118"/>
      <c r="U55" s="118"/>
      <c r="V55" s="118">
        <v>0</v>
      </c>
      <c r="W55" s="64"/>
    </row>
    <row r="56" spans="1:23" s="17" customFormat="1" ht="25.5" x14ac:dyDescent="0.2">
      <c r="A56" s="154"/>
      <c r="B56" s="92" t="s">
        <v>207</v>
      </c>
      <c r="C56" s="176" t="s">
        <v>96</v>
      </c>
      <c r="D56" s="82">
        <v>15000000</v>
      </c>
      <c r="E56" s="112">
        <v>0</v>
      </c>
      <c r="F56" s="79">
        <v>0</v>
      </c>
      <c r="G56" s="79">
        <v>0</v>
      </c>
      <c r="H56" s="79">
        <v>0</v>
      </c>
      <c r="I56" s="79">
        <f>+D56+E56-F56+G56-H56</f>
        <v>15000000</v>
      </c>
      <c r="J56" s="118">
        <v>0</v>
      </c>
      <c r="K56" s="118">
        <v>0</v>
      </c>
      <c r="L56" s="188" t="e">
        <f t="shared" si="1"/>
        <v>#DIV/0!</v>
      </c>
      <c r="M56" s="118"/>
      <c r="N56" s="118"/>
      <c r="O56" s="118"/>
      <c r="P56" s="118"/>
      <c r="Q56" s="118"/>
      <c r="R56" s="118"/>
      <c r="S56" s="118"/>
      <c r="T56" s="118"/>
      <c r="U56" s="118"/>
      <c r="V56" s="118">
        <v>0</v>
      </c>
      <c r="W56" s="64"/>
    </row>
    <row r="57" spans="1:23" s="12" customFormat="1" x14ac:dyDescent="0.2">
      <c r="A57" s="154"/>
      <c r="B57" s="23" t="s">
        <v>99</v>
      </c>
      <c r="C57" s="5" t="s">
        <v>100</v>
      </c>
      <c r="D57" s="76">
        <f>SUM(D58:D64)</f>
        <v>2324908185.4499998</v>
      </c>
      <c r="E57" s="76">
        <f t="shared" ref="E57:I57" si="29">SUM(E58:E64)</f>
        <v>0</v>
      </c>
      <c r="F57" s="76">
        <f t="shared" si="29"/>
        <v>0</v>
      </c>
      <c r="G57" s="76">
        <f t="shared" si="29"/>
        <v>0</v>
      </c>
      <c r="H57" s="76">
        <f t="shared" si="29"/>
        <v>0</v>
      </c>
      <c r="I57" s="76">
        <f t="shared" si="29"/>
        <v>2324908185.4499998</v>
      </c>
      <c r="J57" s="76">
        <f>J58+J59+J60+J61+J62+J63+J64</f>
        <v>0</v>
      </c>
      <c r="K57" s="76">
        <f t="shared" ref="K57:V57" si="30">K58+K59+K60+K61+K62+K63+K64</f>
        <v>0</v>
      </c>
      <c r="L57" s="188" t="e">
        <f t="shared" si="1"/>
        <v>#DIV/0!</v>
      </c>
      <c r="M57" s="76"/>
      <c r="N57" s="76"/>
      <c r="O57" s="76"/>
      <c r="P57" s="76"/>
      <c r="Q57" s="76"/>
      <c r="R57" s="76"/>
      <c r="S57" s="76"/>
      <c r="T57" s="76"/>
      <c r="U57" s="76"/>
      <c r="V57" s="76">
        <f t="shared" si="30"/>
        <v>0</v>
      </c>
      <c r="W57" s="64"/>
    </row>
    <row r="58" spans="1:23" s="17" customFormat="1" ht="38.25" x14ac:dyDescent="0.2">
      <c r="A58" s="154"/>
      <c r="B58" s="7" t="s">
        <v>119</v>
      </c>
      <c r="C58" s="6" t="s">
        <v>112</v>
      </c>
      <c r="D58" s="79">
        <v>0</v>
      </c>
      <c r="E58" s="79">
        <v>0</v>
      </c>
      <c r="F58" s="79">
        <v>0</v>
      </c>
      <c r="G58" s="79">
        <v>0</v>
      </c>
      <c r="H58" s="79">
        <v>0</v>
      </c>
      <c r="I58" s="79">
        <f t="shared" si="23"/>
        <v>0</v>
      </c>
      <c r="J58" s="118">
        <v>0</v>
      </c>
      <c r="K58" s="118">
        <v>0</v>
      </c>
      <c r="L58" s="188" t="e">
        <f t="shared" si="1"/>
        <v>#DIV/0!</v>
      </c>
      <c r="M58" s="118"/>
      <c r="N58" s="118"/>
      <c r="O58" s="118"/>
      <c r="P58" s="118"/>
      <c r="Q58" s="118"/>
      <c r="R58" s="118"/>
      <c r="S58" s="118"/>
      <c r="T58" s="118"/>
      <c r="U58" s="118"/>
      <c r="V58" s="118">
        <v>0</v>
      </c>
      <c r="W58" s="64"/>
    </row>
    <row r="59" spans="1:23" s="17" customFormat="1" ht="25.5" x14ac:dyDescent="0.2">
      <c r="A59" s="154"/>
      <c r="B59" s="7" t="s">
        <v>113</v>
      </c>
      <c r="C59" s="6" t="s">
        <v>101</v>
      </c>
      <c r="D59" s="79">
        <v>892000000</v>
      </c>
      <c r="E59" s="79">
        <v>0</v>
      </c>
      <c r="F59" s="79">
        <v>0</v>
      </c>
      <c r="G59" s="79">
        <v>0</v>
      </c>
      <c r="H59" s="79">
        <v>0</v>
      </c>
      <c r="I59" s="79">
        <f t="shared" si="23"/>
        <v>892000000</v>
      </c>
      <c r="J59" s="118">
        <v>0</v>
      </c>
      <c r="K59" s="118">
        <v>0</v>
      </c>
      <c r="L59" s="188" t="e">
        <f t="shared" si="1"/>
        <v>#DIV/0!</v>
      </c>
      <c r="M59" s="118"/>
      <c r="N59" s="118"/>
      <c r="O59" s="118"/>
      <c r="P59" s="118"/>
      <c r="Q59" s="118"/>
      <c r="R59" s="118"/>
      <c r="S59" s="118"/>
      <c r="T59" s="118"/>
      <c r="U59" s="118"/>
      <c r="V59" s="118">
        <v>0</v>
      </c>
      <c r="W59" s="64"/>
    </row>
    <row r="60" spans="1:23" s="17" customFormat="1" ht="25.5" x14ac:dyDescent="0.2">
      <c r="A60" s="154"/>
      <c r="B60" s="92" t="s">
        <v>208</v>
      </c>
      <c r="C60" s="6" t="s">
        <v>101</v>
      </c>
      <c r="D60" s="79">
        <v>100000000</v>
      </c>
      <c r="E60" s="79">
        <v>0</v>
      </c>
      <c r="F60" s="79">
        <v>0</v>
      </c>
      <c r="G60" s="79">
        <v>0</v>
      </c>
      <c r="H60" s="79">
        <v>0</v>
      </c>
      <c r="I60" s="79">
        <f t="shared" si="23"/>
        <v>100000000</v>
      </c>
      <c r="J60" s="118">
        <v>0</v>
      </c>
      <c r="K60" s="118">
        <v>0</v>
      </c>
      <c r="L60" s="188" t="e">
        <f t="shared" si="1"/>
        <v>#DIV/0!</v>
      </c>
      <c r="M60" s="118"/>
      <c r="N60" s="118"/>
      <c r="O60" s="118"/>
      <c r="P60" s="118"/>
      <c r="Q60" s="118"/>
      <c r="R60" s="118"/>
      <c r="S60" s="118"/>
      <c r="T60" s="118"/>
      <c r="U60" s="118"/>
      <c r="V60" s="118">
        <v>0</v>
      </c>
      <c r="W60" s="64"/>
    </row>
    <row r="61" spans="1:23" s="17" customFormat="1" ht="25.5" x14ac:dyDescent="0.2">
      <c r="A61" s="154"/>
      <c r="B61" s="7" t="s">
        <v>114</v>
      </c>
      <c r="C61" s="6" t="s">
        <v>102</v>
      </c>
      <c r="D61" s="79">
        <v>958798392.54999995</v>
      </c>
      <c r="E61" s="79">
        <v>0</v>
      </c>
      <c r="F61" s="79">
        <v>0</v>
      </c>
      <c r="G61" s="79">
        <v>0</v>
      </c>
      <c r="H61" s="79">
        <v>0</v>
      </c>
      <c r="I61" s="79">
        <f t="shared" si="23"/>
        <v>958798392.54999995</v>
      </c>
      <c r="J61" s="118">
        <v>0</v>
      </c>
      <c r="K61" s="118">
        <v>0</v>
      </c>
      <c r="L61" s="188" t="e">
        <f t="shared" si="1"/>
        <v>#DIV/0!</v>
      </c>
      <c r="M61" s="118"/>
      <c r="N61" s="118"/>
      <c r="O61" s="118"/>
      <c r="P61" s="118"/>
      <c r="Q61" s="118"/>
      <c r="R61" s="118"/>
      <c r="S61" s="118"/>
      <c r="T61" s="118"/>
      <c r="U61" s="118"/>
      <c r="V61" s="118">
        <v>0</v>
      </c>
      <c r="W61" s="64"/>
    </row>
    <row r="62" spans="1:23" s="17" customFormat="1" ht="25.5" x14ac:dyDescent="0.2">
      <c r="A62" s="154"/>
      <c r="B62" s="92" t="s">
        <v>190</v>
      </c>
      <c r="C62" s="6" t="s">
        <v>102</v>
      </c>
      <c r="D62" s="79">
        <v>295629792.89999998</v>
      </c>
      <c r="E62" s="79">
        <v>0</v>
      </c>
      <c r="F62" s="79">
        <v>0</v>
      </c>
      <c r="G62" s="79">
        <v>0</v>
      </c>
      <c r="H62" s="79">
        <v>0</v>
      </c>
      <c r="I62" s="79">
        <f t="shared" si="23"/>
        <v>295629792.89999998</v>
      </c>
      <c r="J62" s="118">
        <v>0</v>
      </c>
      <c r="K62" s="118">
        <v>0</v>
      </c>
      <c r="L62" s="188" t="e">
        <f t="shared" si="1"/>
        <v>#DIV/0!</v>
      </c>
      <c r="M62" s="118"/>
      <c r="N62" s="118"/>
      <c r="O62" s="118"/>
      <c r="P62" s="118"/>
      <c r="Q62" s="118"/>
      <c r="R62" s="118"/>
      <c r="S62" s="118"/>
      <c r="T62" s="118"/>
      <c r="U62" s="118"/>
      <c r="V62" s="118">
        <v>0</v>
      </c>
      <c r="W62" s="64"/>
    </row>
    <row r="63" spans="1:23" s="17" customFormat="1" x14ac:dyDescent="0.2">
      <c r="A63" s="154"/>
      <c r="B63" s="7" t="s">
        <v>120</v>
      </c>
      <c r="C63" s="6" t="s">
        <v>57</v>
      </c>
      <c r="D63" s="79">
        <v>18480000</v>
      </c>
      <c r="E63" s="79">
        <v>0</v>
      </c>
      <c r="F63" s="79">
        <v>0</v>
      </c>
      <c r="G63" s="79">
        <v>0</v>
      </c>
      <c r="H63" s="79">
        <v>0</v>
      </c>
      <c r="I63" s="79">
        <f t="shared" si="23"/>
        <v>18480000</v>
      </c>
      <c r="J63" s="118">
        <v>0</v>
      </c>
      <c r="K63" s="118">
        <v>0</v>
      </c>
      <c r="L63" s="188" t="e">
        <f t="shared" si="1"/>
        <v>#DIV/0!</v>
      </c>
      <c r="M63" s="118"/>
      <c r="N63" s="118"/>
      <c r="O63" s="118"/>
      <c r="P63" s="118"/>
      <c r="Q63" s="118"/>
      <c r="R63" s="118"/>
      <c r="S63" s="118"/>
      <c r="T63" s="118"/>
      <c r="U63" s="118"/>
      <c r="V63" s="118">
        <v>0</v>
      </c>
      <c r="W63" s="64"/>
    </row>
    <row r="64" spans="1:23" s="17" customFormat="1" x14ac:dyDescent="0.2">
      <c r="A64" s="154"/>
      <c r="B64" s="7" t="s">
        <v>209</v>
      </c>
      <c r="C64" s="6" t="s">
        <v>210</v>
      </c>
      <c r="D64" s="79">
        <v>60000000</v>
      </c>
      <c r="E64" s="79">
        <v>0</v>
      </c>
      <c r="F64" s="79">
        <v>0</v>
      </c>
      <c r="G64" s="79">
        <v>0</v>
      </c>
      <c r="H64" s="79">
        <v>0</v>
      </c>
      <c r="I64" s="79">
        <f t="shared" si="23"/>
        <v>60000000</v>
      </c>
      <c r="J64" s="118"/>
      <c r="K64" s="118"/>
      <c r="L64" s="188" t="e">
        <f t="shared" si="1"/>
        <v>#DIV/0!</v>
      </c>
      <c r="M64" s="118"/>
      <c r="N64" s="118"/>
      <c r="O64" s="118"/>
      <c r="P64" s="118"/>
      <c r="Q64" s="118"/>
      <c r="R64" s="118"/>
      <c r="S64" s="118"/>
      <c r="T64" s="118"/>
      <c r="U64" s="118"/>
      <c r="V64" s="118"/>
      <c r="W64" s="64"/>
    </row>
    <row r="65" spans="1:66" s="12" customFormat="1" x14ac:dyDescent="0.2">
      <c r="A65" s="154"/>
      <c r="B65" s="24" t="s">
        <v>124</v>
      </c>
      <c r="C65" s="27" t="s">
        <v>125</v>
      </c>
      <c r="D65" s="74">
        <f>D66</f>
        <v>300000000</v>
      </c>
      <c r="E65" s="74">
        <v>0</v>
      </c>
      <c r="F65" s="74">
        <f>F66</f>
        <v>0</v>
      </c>
      <c r="G65" s="74">
        <f>G66</f>
        <v>0</v>
      </c>
      <c r="H65" s="74">
        <f>H66</f>
        <v>0</v>
      </c>
      <c r="I65" s="74">
        <f t="shared" si="23"/>
        <v>300000000</v>
      </c>
      <c r="J65" s="74">
        <f>+J66</f>
        <v>0</v>
      </c>
      <c r="K65" s="74">
        <f t="shared" ref="K65:V65" si="31">+K66</f>
        <v>0</v>
      </c>
      <c r="L65" s="188" t="e">
        <f t="shared" si="1"/>
        <v>#DIV/0!</v>
      </c>
      <c r="M65" s="74"/>
      <c r="N65" s="74"/>
      <c r="O65" s="74"/>
      <c r="P65" s="74"/>
      <c r="Q65" s="74"/>
      <c r="R65" s="74"/>
      <c r="S65" s="74"/>
      <c r="T65" s="74"/>
      <c r="U65" s="74"/>
      <c r="V65" s="74">
        <f t="shared" si="31"/>
        <v>0</v>
      </c>
      <c r="W65" s="64"/>
    </row>
    <row r="66" spans="1:66" s="12" customFormat="1" x14ac:dyDescent="0.2">
      <c r="A66" s="154"/>
      <c r="B66" s="7" t="s">
        <v>126</v>
      </c>
      <c r="C66" s="6" t="s">
        <v>127</v>
      </c>
      <c r="D66" s="79">
        <v>300000000</v>
      </c>
      <c r="E66" s="72">
        <v>0</v>
      </c>
      <c r="F66" s="72">
        <v>0</v>
      </c>
      <c r="G66" s="72">
        <v>0</v>
      </c>
      <c r="H66" s="72">
        <v>0</v>
      </c>
      <c r="I66" s="95">
        <f t="shared" si="23"/>
        <v>300000000</v>
      </c>
      <c r="J66" s="72">
        <v>0</v>
      </c>
      <c r="K66" s="83">
        <v>0</v>
      </c>
      <c r="L66" s="188" t="e">
        <f t="shared" si="1"/>
        <v>#DIV/0!</v>
      </c>
      <c r="M66" s="83"/>
      <c r="N66" s="83"/>
      <c r="O66" s="83"/>
      <c r="P66" s="83"/>
      <c r="Q66" s="83"/>
      <c r="R66" s="83"/>
      <c r="S66" s="83"/>
      <c r="T66" s="83"/>
      <c r="U66" s="83"/>
      <c r="V66" s="83">
        <v>0</v>
      </c>
      <c r="W66" s="64"/>
    </row>
    <row r="67" spans="1:66" s="12" customFormat="1" ht="25.5" x14ac:dyDescent="0.2">
      <c r="A67" s="154"/>
      <c r="B67" s="24" t="s">
        <v>103</v>
      </c>
      <c r="C67" s="27" t="s">
        <v>104</v>
      </c>
      <c r="D67" s="74">
        <f>+D68+D69+D70</f>
        <v>141000000</v>
      </c>
      <c r="E67" s="74">
        <f>SUM(E68:E68)</f>
        <v>0</v>
      </c>
      <c r="F67" s="74">
        <f>SUM(F68:F68)</f>
        <v>0</v>
      </c>
      <c r="G67" s="74">
        <f>SUM(G68:G68)</f>
        <v>0</v>
      </c>
      <c r="H67" s="74">
        <f>SUM(H68:H68)</f>
        <v>0</v>
      </c>
      <c r="I67" s="74">
        <f t="shared" si="23"/>
        <v>141000000</v>
      </c>
      <c r="J67" s="74">
        <f>J68+J69+J70</f>
        <v>0</v>
      </c>
      <c r="K67" s="74">
        <f t="shared" ref="K67:V67" si="32">K68+K69+K70</f>
        <v>0</v>
      </c>
      <c r="L67" s="188" t="e">
        <f t="shared" si="1"/>
        <v>#DIV/0!</v>
      </c>
      <c r="M67" s="74"/>
      <c r="N67" s="74"/>
      <c r="O67" s="74"/>
      <c r="P67" s="74"/>
      <c r="Q67" s="74"/>
      <c r="R67" s="74"/>
      <c r="S67" s="74"/>
      <c r="T67" s="74"/>
      <c r="U67" s="74"/>
      <c r="V67" s="74">
        <f t="shared" si="32"/>
        <v>0</v>
      </c>
      <c r="W67" s="64"/>
    </row>
    <row r="68" spans="1:66" s="17" customFormat="1" x14ac:dyDescent="0.2">
      <c r="A68" s="154"/>
      <c r="B68" s="7" t="s">
        <v>116</v>
      </c>
      <c r="C68" s="6" t="s">
        <v>115</v>
      </c>
      <c r="D68" s="79">
        <v>20000000</v>
      </c>
      <c r="E68" s="79">
        <v>0</v>
      </c>
      <c r="F68" s="79">
        <v>0</v>
      </c>
      <c r="G68" s="79">
        <v>0</v>
      </c>
      <c r="H68" s="79">
        <v>0</v>
      </c>
      <c r="I68" s="79">
        <f t="shared" si="23"/>
        <v>20000000</v>
      </c>
      <c r="J68" s="79"/>
      <c r="K68" s="79"/>
      <c r="L68" s="188" t="e">
        <f t="shared" si="1"/>
        <v>#DIV/0!</v>
      </c>
      <c r="M68" s="79"/>
      <c r="N68" s="79"/>
      <c r="O68" s="79"/>
      <c r="P68" s="79"/>
      <c r="Q68" s="79"/>
      <c r="R68" s="79"/>
      <c r="S68" s="79"/>
      <c r="T68" s="79"/>
      <c r="U68" s="79"/>
      <c r="V68" s="79"/>
      <c r="W68" s="64"/>
    </row>
    <row r="69" spans="1:66" s="17" customFormat="1" x14ac:dyDescent="0.2">
      <c r="A69" s="154"/>
      <c r="B69" s="92" t="s">
        <v>191</v>
      </c>
      <c r="C69" s="6" t="s">
        <v>115</v>
      </c>
      <c r="D69" s="79">
        <v>100000000</v>
      </c>
      <c r="E69" s="79">
        <v>0</v>
      </c>
      <c r="F69" s="79">
        <v>0</v>
      </c>
      <c r="G69" s="79">
        <v>0</v>
      </c>
      <c r="H69" s="79">
        <v>0</v>
      </c>
      <c r="I69" s="79">
        <f t="shared" si="23"/>
        <v>100000000</v>
      </c>
      <c r="J69" s="79">
        <v>0</v>
      </c>
      <c r="K69" s="79">
        <v>0</v>
      </c>
      <c r="L69" s="188" t="e">
        <f t="shared" si="1"/>
        <v>#DIV/0!</v>
      </c>
      <c r="M69" s="79"/>
      <c r="N69" s="79"/>
      <c r="O69" s="79"/>
      <c r="P69" s="79"/>
      <c r="Q69" s="79"/>
      <c r="R69" s="79"/>
      <c r="S69" s="79"/>
      <c r="T69" s="79"/>
      <c r="U69" s="79"/>
      <c r="V69" s="79">
        <v>0</v>
      </c>
      <c r="W69" s="64"/>
    </row>
    <row r="70" spans="1:66" s="17" customFormat="1" x14ac:dyDescent="0.2">
      <c r="A70" s="154"/>
      <c r="B70" s="7" t="s">
        <v>122</v>
      </c>
      <c r="C70" s="6" t="s">
        <v>123</v>
      </c>
      <c r="D70" s="79">
        <v>21000000</v>
      </c>
      <c r="E70" s="79"/>
      <c r="F70" s="79"/>
      <c r="G70" s="79"/>
      <c r="H70" s="79"/>
      <c r="I70" s="79">
        <f t="shared" si="23"/>
        <v>21000000</v>
      </c>
      <c r="J70" s="79">
        <v>0</v>
      </c>
      <c r="K70" s="79">
        <v>0</v>
      </c>
      <c r="L70" s="188" t="e">
        <f t="shared" si="1"/>
        <v>#DIV/0!</v>
      </c>
      <c r="M70" s="79"/>
      <c r="N70" s="79"/>
      <c r="O70" s="79"/>
      <c r="P70" s="79"/>
      <c r="Q70" s="79"/>
      <c r="R70" s="79"/>
      <c r="S70" s="79"/>
      <c r="T70" s="79"/>
      <c r="U70" s="79"/>
      <c r="V70" s="79">
        <v>0</v>
      </c>
      <c r="W70" s="64"/>
    </row>
    <row r="71" spans="1:66" s="12" customFormat="1" x14ac:dyDescent="0.2">
      <c r="A71" s="154"/>
      <c r="B71" s="4"/>
      <c r="C71" s="172" t="s">
        <v>121</v>
      </c>
      <c r="D71" s="72">
        <v>0</v>
      </c>
      <c r="E71" s="72">
        <f>E72+E73</f>
        <v>0</v>
      </c>
      <c r="F71" s="72">
        <f>F72+F73</f>
        <v>0</v>
      </c>
      <c r="G71" s="72">
        <f>G72+G73</f>
        <v>0</v>
      </c>
      <c r="H71" s="72">
        <f>H72+H73</f>
        <v>0</v>
      </c>
      <c r="I71" s="72">
        <f t="shared" si="23"/>
        <v>0</v>
      </c>
      <c r="J71" s="72">
        <f t="shared" ref="J71:V71" si="33">J72+J73</f>
        <v>0</v>
      </c>
      <c r="K71" s="72">
        <f t="shared" si="33"/>
        <v>0</v>
      </c>
      <c r="L71" s="188" t="e">
        <f t="shared" si="1"/>
        <v>#DIV/0!</v>
      </c>
      <c r="M71" s="72"/>
      <c r="N71" s="72"/>
      <c r="O71" s="72"/>
      <c r="P71" s="72"/>
      <c r="Q71" s="72"/>
      <c r="R71" s="72"/>
      <c r="S71" s="72"/>
      <c r="T71" s="72"/>
      <c r="U71" s="72"/>
      <c r="V71" s="72">
        <f t="shared" si="33"/>
        <v>0</v>
      </c>
      <c r="W71" s="64"/>
    </row>
    <row r="72" spans="1:66" s="12" customFormat="1" x14ac:dyDescent="0.2">
      <c r="A72" s="154"/>
      <c r="B72" s="25"/>
      <c r="C72" s="6" t="s">
        <v>16</v>
      </c>
      <c r="D72" s="113">
        <v>0</v>
      </c>
      <c r="E72" s="113">
        <v>0</v>
      </c>
      <c r="F72" s="113">
        <v>0</v>
      </c>
      <c r="G72" s="113">
        <v>0</v>
      </c>
      <c r="H72" s="113">
        <v>0</v>
      </c>
      <c r="I72" s="72">
        <f t="shared" si="23"/>
        <v>0</v>
      </c>
      <c r="J72" s="124">
        <v>0</v>
      </c>
      <c r="K72" s="124">
        <v>0</v>
      </c>
      <c r="L72" s="188" t="e">
        <f t="shared" ref="L72:L135" si="34">+J72/K72-1</f>
        <v>#DIV/0!</v>
      </c>
      <c r="M72" s="124"/>
      <c r="N72" s="124"/>
      <c r="O72" s="124"/>
      <c r="P72" s="124"/>
      <c r="Q72" s="124"/>
      <c r="R72" s="124"/>
      <c r="S72" s="124"/>
      <c r="T72" s="124"/>
      <c r="U72" s="124"/>
      <c r="V72" s="124">
        <v>0</v>
      </c>
      <c r="W72" s="64"/>
    </row>
    <row r="73" spans="1:66" s="10" customFormat="1" x14ac:dyDescent="0.2">
      <c r="A73" s="153"/>
      <c r="B73" s="19"/>
      <c r="C73" s="170" t="s">
        <v>17</v>
      </c>
      <c r="D73" s="114">
        <v>0</v>
      </c>
      <c r="E73" s="114">
        <v>0</v>
      </c>
      <c r="F73" s="114">
        <v>0</v>
      </c>
      <c r="G73" s="114">
        <v>0</v>
      </c>
      <c r="H73" s="114">
        <v>0</v>
      </c>
      <c r="I73" s="111">
        <f t="shared" si="23"/>
        <v>0</v>
      </c>
      <c r="J73" s="125">
        <v>0</v>
      </c>
      <c r="K73" s="125">
        <v>0</v>
      </c>
      <c r="L73" s="188" t="e">
        <f t="shared" si="34"/>
        <v>#DIV/0!</v>
      </c>
      <c r="M73" s="125"/>
      <c r="N73" s="125"/>
      <c r="O73" s="125"/>
      <c r="P73" s="125"/>
      <c r="Q73" s="125"/>
      <c r="R73" s="125"/>
      <c r="S73" s="125"/>
      <c r="T73" s="125"/>
      <c r="U73" s="125"/>
      <c r="V73" s="125">
        <v>0</v>
      </c>
      <c r="W73" s="64"/>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row>
    <row r="74" spans="1:66" s="26" customFormat="1" ht="32.25" customHeight="1" x14ac:dyDescent="0.2">
      <c r="A74" s="157"/>
      <c r="B74" s="4" t="s">
        <v>52</v>
      </c>
      <c r="C74" s="172" t="s">
        <v>18</v>
      </c>
      <c r="D74" s="72">
        <f>+D75+D90+D97+D106+D110</f>
        <v>90140836027.969986</v>
      </c>
      <c r="E74" s="72">
        <f t="shared" ref="E74:I74" si="35">+E75+E90+E97+E106+E110</f>
        <v>0</v>
      </c>
      <c r="F74" s="72">
        <f t="shared" si="35"/>
        <v>0</v>
      </c>
      <c r="G74" s="72">
        <f t="shared" si="35"/>
        <v>0</v>
      </c>
      <c r="H74" s="72">
        <f t="shared" si="35"/>
        <v>0</v>
      </c>
      <c r="I74" s="72">
        <f t="shared" si="35"/>
        <v>90140836027.969986</v>
      </c>
      <c r="J74" s="72">
        <f>+J75+J90+J97+J106+J110</f>
        <v>0</v>
      </c>
      <c r="K74" s="72">
        <f t="shared" ref="K74:V74" si="36">+K75+K90+K97+K106+K110</f>
        <v>0</v>
      </c>
      <c r="L74" s="188" t="e">
        <f t="shared" si="34"/>
        <v>#DIV/0!</v>
      </c>
      <c r="M74" s="72"/>
      <c r="N74" s="72"/>
      <c r="O74" s="72"/>
      <c r="P74" s="72"/>
      <c r="Q74" s="72"/>
      <c r="R74" s="72"/>
      <c r="S74" s="72"/>
      <c r="T74" s="72"/>
      <c r="U74" s="72"/>
      <c r="V74" s="72">
        <f t="shared" si="36"/>
        <v>0</v>
      </c>
      <c r="W74" s="64"/>
    </row>
    <row r="75" spans="1:66" s="28" customFormat="1" x14ac:dyDescent="0.2">
      <c r="A75" s="158"/>
      <c r="B75" s="24" t="s">
        <v>143</v>
      </c>
      <c r="C75" s="27" t="s">
        <v>51</v>
      </c>
      <c r="D75" s="74">
        <f>D76+D79+D81+D84+D87</f>
        <v>8248505682.5699997</v>
      </c>
      <c r="E75" s="74">
        <f t="shared" ref="E75:H75" si="37">E76+E79+E81+E84+E87</f>
        <v>0</v>
      </c>
      <c r="F75" s="74">
        <f t="shared" si="37"/>
        <v>0</v>
      </c>
      <c r="G75" s="74">
        <f t="shared" si="37"/>
        <v>0</v>
      </c>
      <c r="H75" s="74">
        <f t="shared" si="37"/>
        <v>0</v>
      </c>
      <c r="I75" s="74">
        <f t="shared" si="23"/>
        <v>8248505682.5699997</v>
      </c>
      <c r="J75" s="75">
        <f>+J76+J79+J81+J84+J87</f>
        <v>0</v>
      </c>
      <c r="K75" s="75">
        <f t="shared" ref="K75:V75" si="38">+K76+K79+K81+K84+K87</f>
        <v>0</v>
      </c>
      <c r="L75" s="188" t="e">
        <f t="shared" si="34"/>
        <v>#DIV/0!</v>
      </c>
      <c r="M75" s="75"/>
      <c r="N75" s="75"/>
      <c r="O75" s="75"/>
      <c r="P75" s="75"/>
      <c r="Q75" s="75"/>
      <c r="R75" s="75"/>
      <c r="S75" s="75"/>
      <c r="T75" s="75"/>
      <c r="U75" s="75"/>
      <c r="V75" s="75">
        <f t="shared" si="38"/>
        <v>0</v>
      </c>
      <c r="W75" s="64"/>
    </row>
    <row r="76" spans="1:66" s="29" customFormat="1" ht="97.5" customHeight="1" x14ac:dyDescent="0.2">
      <c r="A76" s="158"/>
      <c r="B76" s="23" t="s">
        <v>137</v>
      </c>
      <c r="C76" s="5" t="s">
        <v>229</v>
      </c>
      <c r="D76" s="76">
        <f>SUM(D77:D78)</f>
        <v>2380952380.9499998</v>
      </c>
      <c r="E76" s="77">
        <f>SUM(E77:E77)</f>
        <v>0</v>
      </c>
      <c r="F76" s="77">
        <f>SUM(F77:F77)</f>
        <v>0</v>
      </c>
      <c r="G76" s="77">
        <f>SUM(G77:G77)</f>
        <v>0</v>
      </c>
      <c r="H76" s="77">
        <f>SUM(H77:H77)</f>
        <v>0</v>
      </c>
      <c r="I76" s="76">
        <f>+D76+E76-F76+G76-H76</f>
        <v>2380952380.9499998</v>
      </c>
      <c r="J76" s="78">
        <f t="shared" ref="J76:V76" si="39">SUM(J77:J78)</f>
        <v>0</v>
      </c>
      <c r="K76" s="78">
        <f t="shared" si="39"/>
        <v>0</v>
      </c>
      <c r="L76" s="188" t="e">
        <f t="shared" si="34"/>
        <v>#DIV/0!</v>
      </c>
      <c r="M76" s="78"/>
      <c r="N76" s="78"/>
      <c r="O76" s="78"/>
      <c r="P76" s="78"/>
      <c r="Q76" s="78"/>
      <c r="R76" s="78"/>
      <c r="S76" s="78"/>
      <c r="T76" s="78"/>
      <c r="U76" s="78"/>
      <c r="V76" s="78">
        <f t="shared" si="39"/>
        <v>0</v>
      </c>
      <c r="W76" s="64"/>
    </row>
    <row r="77" spans="1:66" s="29" customFormat="1" x14ac:dyDescent="0.2">
      <c r="A77" s="158"/>
      <c r="B77" s="7" t="s">
        <v>138</v>
      </c>
      <c r="C77" s="6" t="s">
        <v>107</v>
      </c>
      <c r="D77" s="80">
        <v>1690476190.48</v>
      </c>
      <c r="E77" s="79">
        <v>0</v>
      </c>
      <c r="F77" s="79">
        <v>0</v>
      </c>
      <c r="G77" s="79">
        <v>0</v>
      </c>
      <c r="H77" s="79">
        <v>0</v>
      </c>
      <c r="I77" s="80">
        <f t="shared" ref="I77:I101" si="40">+D77+E77-F77+G77-H77</f>
        <v>1690476190.48</v>
      </c>
      <c r="J77" s="79">
        <v>0</v>
      </c>
      <c r="K77" s="79">
        <v>0</v>
      </c>
      <c r="L77" s="188" t="e">
        <f t="shared" si="34"/>
        <v>#DIV/0!</v>
      </c>
      <c r="M77" s="79"/>
      <c r="N77" s="79"/>
      <c r="O77" s="79"/>
      <c r="P77" s="79"/>
      <c r="Q77" s="79"/>
      <c r="R77" s="79"/>
      <c r="S77" s="79"/>
      <c r="T77" s="79"/>
      <c r="U77" s="79"/>
      <c r="V77" s="79">
        <v>0</v>
      </c>
      <c r="W77" s="64"/>
    </row>
    <row r="78" spans="1:66" s="29" customFormat="1" ht="35.25" customHeight="1" x14ac:dyDescent="0.2">
      <c r="A78" s="158"/>
      <c r="B78" s="7" t="s">
        <v>140</v>
      </c>
      <c r="C78" s="6" t="s">
        <v>53</v>
      </c>
      <c r="D78" s="80">
        <v>690476190.47000003</v>
      </c>
      <c r="E78" s="79"/>
      <c r="F78" s="79"/>
      <c r="G78" s="79"/>
      <c r="H78" s="79"/>
      <c r="I78" s="80">
        <f t="shared" si="40"/>
        <v>690476190.47000003</v>
      </c>
      <c r="J78" s="79">
        <v>0</v>
      </c>
      <c r="K78" s="79">
        <v>0</v>
      </c>
      <c r="L78" s="188" t="e">
        <f t="shared" si="34"/>
        <v>#DIV/0!</v>
      </c>
      <c r="M78" s="79"/>
      <c r="N78" s="79"/>
      <c r="O78" s="79"/>
      <c r="P78" s="79"/>
      <c r="Q78" s="79"/>
      <c r="R78" s="79"/>
      <c r="S78" s="79"/>
      <c r="T78" s="79"/>
      <c r="U78" s="79"/>
      <c r="V78" s="79">
        <v>0</v>
      </c>
      <c r="W78" s="64"/>
    </row>
    <row r="79" spans="1:66" s="29" customFormat="1" ht="90.75" customHeight="1" x14ac:dyDescent="0.2">
      <c r="A79" s="158"/>
      <c r="B79" s="23" t="s">
        <v>139</v>
      </c>
      <c r="C79" s="5" t="s">
        <v>230</v>
      </c>
      <c r="D79" s="76">
        <f>SUM(D80:D80)</f>
        <v>437764030.12</v>
      </c>
      <c r="E79" s="76">
        <f>SUM(E80:E80)</f>
        <v>0</v>
      </c>
      <c r="F79" s="76">
        <f>SUM(F80:F80)</f>
        <v>0</v>
      </c>
      <c r="G79" s="76">
        <f>SUM(G80:G80)</f>
        <v>0</v>
      </c>
      <c r="H79" s="76">
        <f>SUM(H80:H80)</f>
        <v>0</v>
      </c>
      <c r="I79" s="76">
        <f t="shared" si="40"/>
        <v>437764030.12</v>
      </c>
      <c r="J79" s="81">
        <f>+J80</f>
        <v>0</v>
      </c>
      <c r="K79" s="81">
        <f t="shared" ref="K79:V79" si="41">+K80</f>
        <v>0</v>
      </c>
      <c r="L79" s="188" t="e">
        <f t="shared" si="34"/>
        <v>#DIV/0!</v>
      </c>
      <c r="M79" s="81"/>
      <c r="N79" s="81"/>
      <c r="O79" s="81"/>
      <c r="P79" s="81"/>
      <c r="Q79" s="81"/>
      <c r="R79" s="81"/>
      <c r="S79" s="81"/>
      <c r="T79" s="81"/>
      <c r="U79" s="81"/>
      <c r="V79" s="81">
        <f t="shared" si="41"/>
        <v>0</v>
      </c>
      <c r="W79" s="64"/>
    </row>
    <row r="80" spans="1:66" s="29" customFormat="1" ht="29.25" customHeight="1" x14ac:dyDescent="0.2">
      <c r="A80" s="158"/>
      <c r="B80" s="7" t="s">
        <v>140</v>
      </c>
      <c r="C80" s="98" t="s">
        <v>53</v>
      </c>
      <c r="D80" s="82">
        <v>437764030.12</v>
      </c>
      <c r="E80" s="79">
        <v>0</v>
      </c>
      <c r="F80" s="79">
        <v>0</v>
      </c>
      <c r="G80" s="79">
        <v>0</v>
      </c>
      <c r="H80" s="79">
        <v>0</v>
      </c>
      <c r="I80" s="80">
        <f t="shared" si="40"/>
        <v>437764030.12</v>
      </c>
      <c r="J80" s="79">
        <v>0</v>
      </c>
      <c r="K80" s="83">
        <v>0</v>
      </c>
      <c r="L80" s="188" t="e">
        <f t="shared" si="34"/>
        <v>#DIV/0!</v>
      </c>
      <c r="M80" s="83"/>
      <c r="N80" s="83"/>
      <c r="O80" s="83"/>
      <c r="P80" s="83"/>
      <c r="Q80" s="83"/>
      <c r="R80" s="83"/>
      <c r="S80" s="83"/>
      <c r="T80" s="83"/>
      <c r="U80" s="83"/>
      <c r="V80" s="83">
        <v>0</v>
      </c>
      <c r="W80" s="64"/>
      <c r="Z80" s="64"/>
      <c r="AA80" s="64"/>
      <c r="AB80" s="64"/>
      <c r="AC80" s="64"/>
      <c r="AD80" s="64"/>
      <c r="AE80" s="64"/>
      <c r="AF80" s="64"/>
    </row>
    <row r="81" spans="1:32" s="29" customFormat="1" ht="90.75" customHeight="1" x14ac:dyDescent="0.2">
      <c r="A81" s="158"/>
      <c r="B81" s="23" t="s">
        <v>192</v>
      </c>
      <c r="C81" s="5" t="s">
        <v>211</v>
      </c>
      <c r="D81" s="76">
        <f>D82+D83</f>
        <v>1777653047.8999999</v>
      </c>
      <c r="E81" s="76">
        <f>SUM(E83:E90)</f>
        <v>0</v>
      </c>
      <c r="F81" s="76">
        <f>SUM(F83:F90)</f>
        <v>0</v>
      </c>
      <c r="G81" s="76">
        <f>SUM(G83:G90)</f>
        <v>0</v>
      </c>
      <c r="H81" s="76">
        <f>SUM(H83:H90)</f>
        <v>0</v>
      </c>
      <c r="I81" s="76">
        <f t="shared" si="40"/>
        <v>1777653047.8999999</v>
      </c>
      <c r="J81" s="81">
        <f>J82+J83</f>
        <v>0</v>
      </c>
      <c r="K81" s="81">
        <f t="shared" ref="K81:V81" si="42">K82+K83</f>
        <v>0</v>
      </c>
      <c r="L81" s="188" t="e">
        <f t="shared" si="34"/>
        <v>#DIV/0!</v>
      </c>
      <c r="M81" s="81"/>
      <c r="N81" s="81"/>
      <c r="O81" s="81"/>
      <c r="P81" s="81"/>
      <c r="Q81" s="81"/>
      <c r="R81" s="81"/>
      <c r="S81" s="81"/>
      <c r="T81" s="81"/>
      <c r="U81" s="81"/>
      <c r="V81" s="81">
        <f t="shared" si="42"/>
        <v>0</v>
      </c>
      <c r="W81" s="64"/>
    </row>
    <row r="82" spans="1:32" s="29" customFormat="1" ht="13.5" customHeight="1" x14ac:dyDescent="0.2">
      <c r="A82" s="158"/>
      <c r="B82" s="92" t="s">
        <v>225</v>
      </c>
      <c r="C82" s="6" t="s">
        <v>107</v>
      </c>
      <c r="D82" s="82">
        <v>1633397231.5999999</v>
      </c>
      <c r="E82" s="79">
        <v>0</v>
      </c>
      <c r="F82" s="79">
        <v>0</v>
      </c>
      <c r="G82" s="79">
        <v>0</v>
      </c>
      <c r="H82" s="79">
        <v>0</v>
      </c>
      <c r="I82" s="80">
        <f t="shared" si="40"/>
        <v>1633397231.5999999</v>
      </c>
      <c r="J82" s="79">
        <v>0</v>
      </c>
      <c r="K82" s="79">
        <v>0</v>
      </c>
      <c r="L82" s="188" t="e">
        <f t="shared" si="34"/>
        <v>#DIV/0!</v>
      </c>
      <c r="M82" s="79"/>
      <c r="N82" s="79"/>
      <c r="O82" s="79"/>
      <c r="P82" s="79"/>
      <c r="Q82" s="79"/>
      <c r="R82" s="79"/>
      <c r="S82" s="79"/>
      <c r="T82" s="79"/>
      <c r="U82" s="79"/>
      <c r="V82" s="79">
        <v>0</v>
      </c>
      <c r="W82" s="64"/>
      <c r="Z82" s="64"/>
      <c r="AA82" s="64"/>
      <c r="AB82" s="64"/>
      <c r="AC82" s="64"/>
      <c r="AD82" s="64"/>
      <c r="AE82" s="64"/>
      <c r="AF82" s="64"/>
    </row>
    <row r="83" spans="1:32" s="29" customFormat="1" ht="26.25" customHeight="1" x14ac:dyDescent="0.2">
      <c r="A83" s="158"/>
      <c r="B83" s="92" t="s">
        <v>228</v>
      </c>
      <c r="C83" s="98" t="s">
        <v>53</v>
      </c>
      <c r="D83" s="82">
        <v>144255816.30000001</v>
      </c>
      <c r="E83" s="79">
        <v>0</v>
      </c>
      <c r="F83" s="79">
        <v>0</v>
      </c>
      <c r="G83" s="79">
        <v>0</v>
      </c>
      <c r="H83" s="79">
        <v>0</v>
      </c>
      <c r="I83" s="80">
        <f t="shared" si="40"/>
        <v>144255816.30000001</v>
      </c>
      <c r="J83" s="79">
        <v>0</v>
      </c>
      <c r="K83" s="79">
        <v>0</v>
      </c>
      <c r="L83" s="188" t="e">
        <f t="shared" si="34"/>
        <v>#DIV/0!</v>
      </c>
      <c r="M83" s="79"/>
      <c r="N83" s="79"/>
      <c r="O83" s="79"/>
      <c r="P83" s="79"/>
      <c r="Q83" s="79"/>
      <c r="R83" s="79"/>
      <c r="S83" s="79"/>
      <c r="T83" s="79"/>
      <c r="U83" s="79"/>
      <c r="V83" s="79">
        <v>0</v>
      </c>
      <c r="W83" s="64"/>
      <c r="Z83" s="64"/>
      <c r="AA83" s="64"/>
      <c r="AB83" s="64"/>
      <c r="AC83" s="64"/>
      <c r="AD83" s="64"/>
      <c r="AE83" s="64"/>
      <c r="AF83" s="64"/>
    </row>
    <row r="84" spans="1:32" s="29" customFormat="1" ht="90.75" customHeight="1" x14ac:dyDescent="0.2">
      <c r="A84" s="158"/>
      <c r="B84" s="23" t="s">
        <v>213</v>
      </c>
      <c r="C84" s="5" t="s">
        <v>212</v>
      </c>
      <c r="D84" s="76">
        <f>D85+D86</f>
        <v>1940036179</v>
      </c>
      <c r="E84" s="76">
        <f>SUM(E86:E92)</f>
        <v>0</v>
      </c>
      <c r="F84" s="76">
        <f>SUM(F86:F92)</f>
        <v>0</v>
      </c>
      <c r="G84" s="76">
        <f>SUM(G86:G92)</f>
        <v>0</v>
      </c>
      <c r="H84" s="76">
        <f>SUM(H86:H92)</f>
        <v>0</v>
      </c>
      <c r="I84" s="76">
        <f t="shared" si="40"/>
        <v>1940036179</v>
      </c>
      <c r="J84" s="81">
        <f>J85+J86</f>
        <v>0</v>
      </c>
      <c r="K84" s="81">
        <f t="shared" ref="K84:V84" si="43">K85+K86</f>
        <v>0</v>
      </c>
      <c r="L84" s="188" t="e">
        <f t="shared" si="34"/>
        <v>#DIV/0!</v>
      </c>
      <c r="M84" s="81"/>
      <c r="N84" s="81"/>
      <c r="O84" s="81"/>
      <c r="P84" s="81"/>
      <c r="Q84" s="81"/>
      <c r="R84" s="81"/>
      <c r="S84" s="81"/>
      <c r="T84" s="81"/>
      <c r="U84" s="81"/>
      <c r="V84" s="81">
        <f t="shared" si="43"/>
        <v>0</v>
      </c>
      <c r="W84" s="64"/>
    </row>
    <row r="85" spans="1:32" s="29" customFormat="1" ht="13.5" customHeight="1" x14ac:dyDescent="0.2">
      <c r="A85" s="158"/>
      <c r="B85" s="92" t="s">
        <v>226</v>
      </c>
      <c r="C85" s="6" t="s">
        <v>107</v>
      </c>
      <c r="D85" s="82">
        <v>1747821909</v>
      </c>
      <c r="E85" s="79">
        <v>0</v>
      </c>
      <c r="F85" s="79">
        <v>0</v>
      </c>
      <c r="G85" s="79">
        <v>0</v>
      </c>
      <c r="H85" s="79">
        <v>0</v>
      </c>
      <c r="I85" s="80">
        <f t="shared" si="40"/>
        <v>1747821909</v>
      </c>
      <c r="J85" s="63">
        <v>0</v>
      </c>
      <c r="K85" s="63">
        <v>0</v>
      </c>
      <c r="L85" s="188" t="e">
        <f t="shared" si="34"/>
        <v>#DIV/0!</v>
      </c>
      <c r="M85" s="63"/>
      <c r="N85" s="63"/>
      <c r="O85" s="63"/>
      <c r="P85" s="63"/>
      <c r="Q85" s="63"/>
      <c r="R85" s="63"/>
      <c r="S85" s="63"/>
      <c r="T85" s="63"/>
      <c r="U85" s="63"/>
      <c r="V85" s="63">
        <v>0</v>
      </c>
      <c r="W85" s="64"/>
      <c r="Z85" s="64"/>
      <c r="AA85" s="64"/>
      <c r="AB85" s="64"/>
      <c r="AC85" s="64"/>
      <c r="AD85" s="64"/>
      <c r="AE85" s="64"/>
      <c r="AF85" s="64"/>
    </row>
    <row r="86" spans="1:32" s="29" customFormat="1" ht="33" customHeight="1" x14ac:dyDescent="0.2">
      <c r="A86" s="158"/>
      <c r="B86" s="92" t="s">
        <v>223</v>
      </c>
      <c r="C86" s="98" t="s">
        <v>53</v>
      </c>
      <c r="D86" s="82">
        <v>192214270</v>
      </c>
      <c r="E86" s="79">
        <v>0</v>
      </c>
      <c r="F86" s="79">
        <v>0</v>
      </c>
      <c r="G86" s="79">
        <v>0</v>
      </c>
      <c r="H86" s="79">
        <v>0</v>
      </c>
      <c r="I86" s="80">
        <f t="shared" si="40"/>
        <v>192214270</v>
      </c>
      <c r="J86" s="63">
        <v>0</v>
      </c>
      <c r="K86" s="63">
        <v>0</v>
      </c>
      <c r="L86" s="188" t="e">
        <f t="shared" si="34"/>
        <v>#DIV/0!</v>
      </c>
      <c r="M86" s="63"/>
      <c r="N86" s="63"/>
      <c r="O86" s="63"/>
      <c r="P86" s="63"/>
      <c r="Q86" s="63"/>
      <c r="R86" s="63"/>
      <c r="S86" s="63"/>
      <c r="T86" s="63"/>
      <c r="U86" s="63"/>
      <c r="V86" s="63">
        <v>0</v>
      </c>
      <c r="W86" s="64"/>
      <c r="Z86" s="64"/>
      <c r="AA86" s="64"/>
      <c r="AB86" s="64"/>
      <c r="AC86" s="64"/>
      <c r="AD86" s="64"/>
      <c r="AE86" s="64"/>
      <c r="AF86" s="64"/>
    </row>
    <row r="87" spans="1:32" s="29" customFormat="1" ht="90.75" customHeight="1" x14ac:dyDescent="0.2">
      <c r="A87" s="158"/>
      <c r="B87" s="23" t="s">
        <v>214</v>
      </c>
      <c r="C87" s="5" t="s">
        <v>215</v>
      </c>
      <c r="D87" s="76">
        <f>D88+D89</f>
        <v>1712100044.5999999</v>
      </c>
      <c r="E87" s="76">
        <f>SUM(E89:E98)</f>
        <v>0</v>
      </c>
      <c r="F87" s="76">
        <f>SUM(F89:F98)</f>
        <v>0</v>
      </c>
      <c r="G87" s="76">
        <f>SUM(G89:G98)</f>
        <v>0</v>
      </c>
      <c r="H87" s="76">
        <f>SUM(H89:H98)</f>
        <v>0</v>
      </c>
      <c r="I87" s="76">
        <f t="shared" si="40"/>
        <v>1712100044.5999999</v>
      </c>
      <c r="J87" s="81">
        <f>J88+J89</f>
        <v>0</v>
      </c>
      <c r="K87" s="81">
        <f t="shared" ref="K87:V87" si="44">K88+K89</f>
        <v>0</v>
      </c>
      <c r="L87" s="188" t="e">
        <f t="shared" si="34"/>
        <v>#DIV/0!</v>
      </c>
      <c r="M87" s="81"/>
      <c r="N87" s="81"/>
      <c r="O87" s="81"/>
      <c r="P87" s="81"/>
      <c r="Q87" s="81"/>
      <c r="R87" s="81"/>
      <c r="S87" s="81"/>
      <c r="T87" s="81"/>
      <c r="U87" s="81"/>
      <c r="V87" s="81">
        <f t="shared" si="44"/>
        <v>0</v>
      </c>
      <c r="W87" s="64"/>
    </row>
    <row r="88" spans="1:32" s="29" customFormat="1" ht="13.5" customHeight="1" x14ac:dyDescent="0.2">
      <c r="A88" s="158"/>
      <c r="B88" s="92" t="s">
        <v>227</v>
      </c>
      <c r="C88" s="6" t="s">
        <v>107</v>
      </c>
      <c r="D88" s="82">
        <v>1582095352.5</v>
      </c>
      <c r="E88" s="79">
        <v>0</v>
      </c>
      <c r="F88" s="79">
        <v>0</v>
      </c>
      <c r="G88" s="79">
        <v>0</v>
      </c>
      <c r="H88" s="79">
        <v>0</v>
      </c>
      <c r="I88" s="80">
        <f t="shared" si="40"/>
        <v>1582095352.5</v>
      </c>
      <c r="J88" s="63">
        <v>0</v>
      </c>
      <c r="K88" s="63">
        <v>0</v>
      </c>
      <c r="L88" s="188" t="e">
        <f t="shared" si="34"/>
        <v>#DIV/0!</v>
      </c>
      <c r="M88" s="63"/>
      <c r="N88" s="63"/>
      <c r="O88" s="63"/>
      <c r="P88" s="63"/>
      <c r="Q88" s="63"/>
      <c r="R88" s="63"/>
      <c r="S88" s="63"/>
      <c r="T88" s="63"/>
      <c r="U88" s="63"/>
      <c r="V88" s="63">
        <v>0</v>
      </c>
      <c r="W88" s="64"/>
      <c r="Z88" s="64"/>
      <c r="AA88" s="64"/>
      <c r="AB88" s="64"/>
      <c r="AC88" s="64"/>
      <c r="AD88" s="64"/>
      <c r="AE88" s="64"/>
      <c r="AF88" s="64"/>
    </row>
    <row r="89" spans="1:32" s="29" customFormat="1" ht="33" customHeight="1" x14ac:dyDescent="0.2">
      <c r="A89" s="158"/>
      <c r="B89" s="92" t="s">
        <v>222</v>
      </c>
      <c r="C89" s="98" t="s">
        <v>53</v>
      </c>
      <c r="D89" s="82">
        <v>130004692.09999999</v>
      </c>
      <c r="E89" s="79">
        <v>0</v>
      </c>
      <c r="F89" s="79">
        <v>0</v>
      </c>
      <c r="G89" s="79">
        <v>0</v>
      </c>
      <c r="H89" s="79">
        <v>0</v>
      </c>
      <c r="I89" s="80">
        <f t="shared" si="40"/>
        <v>130004692.09999999</v>
      </c>
      <c r="J89" s="63">
        <v>0</v>
      </c>
      <c r="K89" s="63">
        <v>0</v>
      </c>
      <c r="L89" s="188" t="e">
        <f t="shared" si="34"/>
        <v>#DIV/0!</v>
      </c>
      <c r="M89" s="63"/>
      <c r="N89" s="63"/>
      <c r="O89" s="63"/>
      <c r="P89" s="63"/>
      <c r="Q89" s="63"/>
      <c r="R89" s="63"/>
      <c r="S89" s="63"/>
      <c r="T89" s="63"/>
      <c r="U89" s="63"/>
      <c r="V89" s="63">
        <v>0</v>
      </c>
      <c r="W89" s="64"/>
      <c r="Z89" s="64"/>
      <c r="AA89" s="64"/>
      <c r="AB89" s="64"/>
      <c r="AC89" s="64"/>
      <c r="AD89" s="64"/>
      <c r="AE89" s="64"/>
      <c r="AF89" s="64"/>
    </row>
    <row r="90" spans="1:32" s="29" customFormat="1" x14ac:dyDescent="0.2">
      <c r="A90" s="158"/>
      <c r="B90" s="24" t="s">
        <v>142</v>
      </c>
      <c r="C90" s="27" t="s">
        <v>141</v>
      </c>
      <c r="D90" s="74">
        <f>D91+D94</f>
        <v>6123229897.9699993</v>
      </c>
      <c r="E90" s="74">
        <f t="shared" ref="E90:H90" si="45">E91+E94</f>
        <v>0</v>
      </c>
      <c r="F90" s="74">
        <f t="shared" si="45"/>
        <v>0</v>
      </c>
      <c r="G90" s="74">
        <f t="shared" si="45"/>
        <v>0</v>
      </c>
      <c r="H90" s="74">
        <f t="shared" si="45"/>
        <v>0</v>
      </c>
      <c r="I90" s="74">
        <f t="shared" si="40"/>
        <v>6123229897.9699993</v>
      </c>
      <c r="J90" s="74">
        <f>J91+J94</f>
        <v>0</v>
      </c>
      <c r="K90" s="74">
        <f t="shared" ref="K90:V90" si="46">K91+K94</f>
        <v>0</v>
      </c>
      <c r="L90" s="188" t="e">
        <f t="shared" si="34"/>
        <v>#DIV/0!</v>
      </c>
      <c r="M90" s="74"/>
      <c r="N90" s="74"/>
      <c r="O90" s="74"/>
      <c r="P90" s="74"/>
      <c r="Q90" s="74"/>
      <c r="R90" s="74"/>
      <c r="S90" s="74"/>
      <c r="T90" s="74"/>
      <c r="U90" s="74"/>
      <c r="V90" s="74">
        <f t="shared" si="46"/>
        <v>0</v>
      </c>
      <c r="W90" s="64"/>
    </row>
    <row r="91" spans="1:32" s="29" customFormat="1" ht="87.75" customHeight="1" x14ac:dyDescent="0.2">
      <c r="A91" s="158"/>
      <c r="B91" s="23" t="s">
        <v>193</v>
      </c>
      <c r="C91" s="5" t="s">
        <v>216</v>
      </c>
      <c r="D91" s="76">
        <f>D92+D93</f>
        <v>2617848780.52</v>
      </c>
      <c r="E91" s="76">
        <f>E92+E93</f>
        <v>0</v>
      </c>
      <c r="F91" s="76">
        <f>F92+F93</f>
        <v>0</v>
      </c>
      <c r="G91" s="76">
        <f>G92+G93</f>
        <v>0</v>
      </c>
      <c r="H91" s="76">
        <f>H92+H93</f>
        <v>0</v>
      </c>
      <c r="I91" s="76">
        <f t="shared" si="40"/>
        <v>2617848780.52</v>
      </c>
      <c r="J91" s="76">
        <f t="shared" ref="J91:V91" si="47">J92+J93</f>
        <v>0</v>
      </c>
      <c r="K91" s="76">
        <f t="shared" si="47"/>
        <v>0</v>
      </c>
      <c r="L91" s="188" t="e">
        <f t="shared" si="34"/>
        <v>#DIV/0!</v>
      </c>
      <c r="M91" s="76"/>
      <c r="N91" s="76"/>
      <c r="O91" s="76"/>
      <c r="P91" s="76"/>
      <c r="Q91" s="76"/>
      <c r="R91" s="76"/>
      <c r="S91" s="76"/>
      <c r="T91" s="76"/>
      <c r="U91" s="76"/>
      <c r="V91" s="76">
        <f t="shared" si="47"/>
        <v>0</v>
      </c>
      <c r="W91" s="64"/>
    </row>
    <row r="92" spans="1:32" s="29" customFormat="1" ht="13.5" customHeight="1" x14ac:dyDescent="0.2">
      <c r="A92" s="158"/>
      <c r="B92" s="7" t="s">
        <v>144</v>
      </c>
      <c r="C92" s="6" t="s">
        <v>107</v>
      </c>
      <c r="D92" s="82">
        <v>2248324355.0799999</v>
      </c>
      <c r="E92" s="79">
        <v>0</v>
      </c>
      <c r="F92" s="79">
        <v>0</v>
      </c>
      <c r="G92" s="79">
        <v>0</v>
      </c>
      <c r="H92" s="79">
        <v>0</v>
      </c>
      <c r="I92" s="80">
        <f t="shared" si="40"/>
        <v>2248324355.0799999</v>
      </c>
      <c r="J92" s="63">
        <v>0</v>
      </c>
      <c r="K92" s="63">
        <v>0</v>
      </c>
      <c r="L92" s="188" t="e">
        <f t="shared" si="34"/>
        <v>#DIV/0!</v>
      </c>
      <c r="M92" s="63"/>
      <c r="N92" s="63"/>
      <c r="O92" s="63"/>
      <c r="P92" s="63"/>
      <c r="Q92" s="63"/>
      <c r="R92" s="63"/>
      <c r="S92" s="63"/>
      <c r="T92" s="63"/>
      <c r="U92" s="63"/>
      <c r="V92" s="63">
        <v>0</v>
      </c>
      <c r="W92" s="64"/>
      <c r="Z92" s="64"/>
      <c r="AA92" s="64"/>
      <c r="AB92" s="64"/>
      <c r="AC92" s="64"/>
      <c r="AD92" s="64"/>
      <c r="AE92" s="64"/>
      <c r="AF92" s="64"/>
    </row>
    <row r="93" spans="1:32" s="29" customFormat="1" ht="30.75" customHeight="1" x14ac:dyDescent="0.2">
      <c r="A93" s="158"/>
      <c r="B93" s="7" t="s">
        <v>145</v>
      </c>
      <c r="C93" s="6" t="s">
        <v>53</v>
      </c>
      <c r="D93" s="82">
        <v>369524425.44</v>
      </c>
      <c r="E93" s="79">
        <v>0</v>
      </c>
      <c r="F93" s="79">
        <v>0</v>
      </c>
      <c r="G93" s="79">
        <v>0</v>
      </c>
      <c r="H93" s="79">
        <v>0</v>
      </c>
      <c r="I93" s="80">
        <f t="shared" si="40"/>
        <v>369524425.44</v>
      </c>
      <c r="J93" s="63">
        <v>0</v>
      </c>
      <c r="K93" s="63">
        <v>0</v>
      </c>
      <c r="L93" s="188" t="e">
        <f t="shared" si="34"/>
        <v>#DIV/0!</v>
      </c>
      <c r="M93" s="63"/>
      <c r="N93" s="63"/>
      <c r="O93" s="63"/>
      <c r="P93" s="63"/>
      <c r="Q93" s="63"/>
      <c r="R93" s="63"/>
      <c r="S93" s="63"/>
      <c r="T93" s="63"/>
      <c r="U93" s="63"/>
      <c r="V93" s="63">
        <v>0</v>
      </c>
      <c r="W93" s="64"/>
    </row>
    <row r="94" spans="1:32" s="29" customFormat="1" ht="87.75" customHeight="1" x14ac:dyDescent="0.2">
      <c r="A94" s="158"/>
      <c r="B94" s="23" t="s">
        <v>217</v>
      </c>
      <c r="C94" s="5" t="s">
        <v>218</v>
      </c>
      <c r="D94" s="76">
        <f>D95+D96</f>
        <v>3505381117.4499998</v>
      </c>
      <c r="E94" s="76">
        <f>E95+E96</f>
        <v>0</v>
      </c>
      <c r="F94" s="76">
        <f>F95+F96</f>
        <v>0</v>
      </c>
      <c r="G94" s="76">
        <f>G95+G96</f>
        <v>0</v>
      </c>
      <c r="H94" s="76">
        <f>H95+H96</f>
        <v>0</v>
      </c>
      <c r="I94" s="76">
        <f t="shared" si="40"/>
        <v>3505381117.4499998</v>
      </c>
      <c r="J94" s="76">
        <f t="shared" ref="J94:V94" si="48">J95+J96</f>
        <v>0</v>
      </c>
      <c r="K94" s="76">
        <f t="shared" si="48"/>
        <v>0</v>
      </c>
      <c r="L94" s="188" t="e">
        <f t="shared" si="34"/>
        <v>#DIV/0!</v>
      </c>
      <c r="M94" s="76"/>
      <c r="N94" s="76"/>
      <c r="O94" s="76"/>
      <c r="P94" s="76"/>
      <c r="Q94" s="76"/>
      <c r="R94" s="76"/>
      <c r="S94" s="76"/>
      <c r="T94" s="76"/>
      <c r="U94" s="76"/>
      <c r="V94" s="76">
        <f t="shared" si="48"/>
        <v>0</v>
      </c>
      <c r="W94" s="64"/>
    </row>
    <row r="95" spans="1:32" s="29" customFormat="1" ht="13.5" customHeight="1" x14ac:dyDescent="0.2">
      <c r="A95" s="158"/>
      <c r="B95" s="92" t="s">
        <v>219</v>
      </c>
      <c r="C95" s="6" t="s">
        <v>107</v>
      </c>
      <c r="D95" s="82">
        <v>3337389103.4400001</v>
      </c>
      <c r="E95" s="79">
        <v>0</v>
      </c>
      <c r="F95" s="79">
        <v>0</v>
      </c>
      <c r="G95" s="79">
        <v>0</v>
      </c>
      <c r="H95" s="79">
        <v>0</v>
      </c>
      <c r="I95" s="80">
        <f t="shared" si="40"/>
        <v>3337389103.4400001</v>
      </c>
      <c r="J95" s="63">
        <v>0</v>
      </c>
      <c r="K95" s="63">
        <v>0</v>
      </c>
      <c r="L95" s="188" t="e">
        <f t="shared" si="34"/>
        <v>#DIV/0!</v>
      </c>
      <c r="M95" s="63"/>
      <c r="N95" s="63"/>
      <c r="O95" s="63"/>
      <c r="P95" s="63"/>
      <c r="Q95" s="63"/>
      <c r="R95" s="63"/>
      <c r="S95" s="63"/>
      <c r="T95" s="63"/>
      <c r="U95" s="63"/>
      <c r="V95" s="63">
        <v>0</v>
      </c>
      <c r="W95" s="64"/>
      <c r="Z95" s="64"/>
      <c r="AA95" s="64"/>
      <c r="AB95" s="64"/>
      <c r="AC95" s="64"/>
      <c r="AD95" s="64"/>
      <c r="AE95" s="64"/>
      <c r="AF95" s="64"/>
    </row>
    <row r="96" spans="1:32" s="29" customFormat="1" ht="30.75" customHeight="1" x14ac:dyDescent="0.2">
      <c r="A96" s="158"/>
      <c r="B96" s="92" t="s">
        <v>220</v>
      </c>
      <c r="C96" s="6" t="s">
        <v>53</v>
      </c>
      <c r="D96" s="82">
        <v>167992014.00999999</v>
      </c>
      <c r="E96" s="79">
        <v>0</v>
      </c>
      <c r="F96" s="79">
        <v>0</v>
      </c>
      <c r="G96" s="79">
        <v>0</v>
      </c>
      <c r="H96" s="79">
        <v>0</v>
      </c>
      <c r="I96" s="80">
        <f t="shared" si="40"/>
        <v>167992014.00999999</v>
      </c>
      <c r="J96" s="63">
        <v>0</v>
      </c>
      <c r="K96" s="63">
        <v>0</v>
      </c>
      <c r="L96" s="188" t="e">
        <f t="shared" si="34"/>
        <v>#DIV/0!</v>
      </c>
      <c r="M96" s="63"/>
      <c r="N96" s="63"/>
      <c r="O96" s="63"/>
      <c r="P96" s="63"/>
      <c r="Q96" s="63"/>
      <c r="R96" s="63"/>
      <c r="S96" s="63"/>
      <c r="T96" s="63"/>
      <c r="U96" s="63"/>
      <c r="V96" s="63">
        <v>0</v>
      </c>
      <c r="W96" s="64"/>
    </row>
    <row r="97" spans="1:66" s="29" customFormat="1" x14ac:dyDescent="0.2">
      <c r="A97" s="158"/>
      <c r="B97" s="24" t="s">
        <v>108</v>
      </c>
      <c r="C97" s="27" t="s">
        <v>54</v>
      </c>
      <c r="D97" s="74">
        <f>D98+D102+D104</f>
        <v>70382237882.429993</v>
      </c>
      <c r="E97" s="74">
        <f>E98+E102+E104</f>
        <v>0</v>
      </c>
      <c r="F97" s="74">
        <f t="shared" ref="F97:H97" si="49">F98+F102+F104</f>
        <v>0</v>
      </c>
      <c r="G97" s="74">
        <f t="shared" si="49"/>
        <v>0</v>
      </c>
      <c r="H97" s="74">
        <f t="shared" si="49"/>
        <v>0</v>
      </c>
      <c r="I97" s="74">
        <f>+D97+E97-F97+G97-H97</f>
        <v>70382237882.429993</v>
      </c>
      <c r="J97" s="74">
        <f>+J98+J102+J104</f>
        <v>0</v>
      </c>
      <c r="K97" s="74">
        <f t="shared" ref="K97:V97" si="50">+K98+K102+K104</f>
        <v>0</v>
      </c>
      <c r="L97" s="188" t="e">
        <f t="shared" si="34"/>
        <v>#DIV/0!</v>
      </c>
      <c r="M97" s="74"/>
      <c r="N97" s="74"/>
      <c r="O97" s="74"/>
      <c r="P97" s="74"/>
      <c r="Q97" s="74"/>
      <c r="R97" s="74"/>
      <c r="S97" s="74"/>
      <c r="T97" s="74"/>
      <c r="U97" s="74"/>
      <c r="V97" s="74">
        <f t="shared" si="50"/>
        <v>0</v>
      </c>
      <c r="W97" s="64"/>
    </row>
    <row r="98" spans="1:66" s="29" customFormat="1" ht="51" x14ac:dyDescent="0.2">
      <c r="A98" s="158"/>
      <c r="B98" s="23" t="s">
        <v>146</v>
      </c>
      <c r="C98" s="5" t="s">
        <v>194</v>
      </c>
      <c r="D98" s="76">
        <f>D99+D100+D101</f>
        <v>16556154691.43</v>
      </c>
      <c r="E98" s="76">
        <f t="shared" ref="E98:H98" si="51">E99+E100+E101</f>
        <v>0</v>
      </c>
      <c r="F98" s="76">
        <f t="shared" si="51"/>
        <v>0</v>
      </c>
      <c r="G98" s="76">
        <f t="shared" si="51"/>
        <v>0</v>
      </c>
      <c r="H98" s="76">
        <f t="shared" si="51"/>
        <v>0</v>
      </c>
      <c r="I98" s="76">
        <f>I99+I100+I101</f>
        <v>16556154691.43</v>
      </c>
      <c r="J98" s="76">
        <f>J99+J100+J101</f>
        <v>0</v>
      </c>
      <c r="K98" s="76">
        <f t="shared" ref="K98:V98" si="52">K99+K100+K101</f>
        <v>0</v>
      </c>
      <c r="L98" s="188" t="e">
        <f t="shared" si="34"/>
        <v>#DIV/0!</v>
      </c>
      <c r="M98" s="76"/>
      <c r="N98" s="76"/>
      <c r="O98" s="76"/>
      <c r="P98" s="76"/>
      <c r="Q98" s="76"/>
      <c r="R98" s="76"/>
      <c r="S98" s="76"/>
      <c r="T98" s="76"/>
      <c r="U98" s="76"/>
      <c r="V98" s="76">
        <f t="shared" si="52"/>
        <v>0</v>
      </c>
      <c r="W98" s="64"/>
    </row>
    <row r="99" spans="1:66" s="29" customFormat="1" ht="12.75" customHeight="1" x14ac:dyDescent="0.2">
      <c r="A99" s="158"/>
      <c r="B99" s="7" t="s">
        <v>147</v>
      </c>
      <c r="C99" s="6" t="s">
        <v>107</v>
      </c>
      <c r="D99" s="79">
        <v>12052385707.309999</v>
      </c>
      <c r="E99" s="72">
        <v>0</v>
      </c>
      <c r="F99" s="72">
        <v>0</v>
      </c>
      <c r="G99" s="72">
        <v>0</v>
      </c>
      <c r="H99" s="72">
        <v>0</v>
      </c>
      <c r="I99" s="79">
        <f t="shared" si="40"/>
        <v>12052385707.309999</v>
      </c>
      <c r="J99" s="63">
        <v>0</v>
      </c>
      <c r="K99" s="63">
        <v>0</v>
      </c>
      <c r="L99" s="188" t="e">
        <f t="shared" si="34"/>
        <v>#DIV/0!</v>
      </c>
      <c r="M99" s="63"/>
      <c r="N99" s="63"/>
      <c r="O99" s="63"/>
      <c r="P99" s="63"/>
      <c r="Q99" s="63"/>
      <c r="R99" s="63"/>
      <c r="S99" s="63"/>
      <c r="T99" s="63"/>
      <c r="U99" s="63"/>
      <c r="V99" s="63">
        <v>0</v>
      </c>
      <c r="W99" s="64"/>
      <c r="X99" s="29">
        <f>W99/3</f>
        <v>0</v>
      </c>
    </row>
    <row r="100" spans="1:66" s="29" customFormat="1" ht="12.75" customHeight="1" x14ac:dyDescent="0.2">
      <c r="A100" s="158"/>
      <c r="B100" s="7" t="s">
        <v>148</v>
      </c>
      <c r="C100" s="6" t="s">
        <v>53</v>
      </c>
      <c r="D100" s="79">
        <v>4303768984.1199999</v>
      </c>
      <c r="E100" s="79"/>
      <c r="F100" s="79"/>
      <c r="G100" s="79"/>
      <c r="H100" s="79"/>
      <c r="I100" s="79">
        <f t="shared" si="40"/>
        <v>4303768984.1199999</v>
      </c>
      <c r="J100" s="63">
        <v>0</v>
      </c>
      <c r="K100" s="63">
        <v>0</v>
      </c>
      <c r="L100" s="188" t="e">
        <f t="shared" si="34"/>
        <v>#DIV/0!</v>
      </c>
      <c r="M100" s="63"/>
      <c r="N100" s="63"/>
      <c r="O100" s="63"/>
      <c r="P100" s="63"/>
      <c r="Q100" s="63"/>
      <c r="R100" s="63"/>
      <c r="S100" s="63"/>
      <c r="T100" s="63"/>
      <c r="U100" s="63"/>
      <c r="V100" s="63">
        <v>0</v>
      </c>
      <c r="W100" s="64"/>
      <c r="X100" s="29">
        <f>X99*3</f>
        <v>0</v>
      </c>
      <c r="Z100" s="64"/>
      <c r="AA100" s="64"/>
      <c r="AB100" s="64"/>
      <c r="AC100" s="64"/>
      <c r="AD100" s="64"/>
      <c r="AE100" s="64"/>
      <c r="AF100" s="64"/>
    </row>
    <row r="101" spans="1:66" s="29" customFormat="1" ht="12.75" customHeight="1" x14ac:dyDescent="0.2">
      <c r="A101" s="158"/>
      <c r="B101" s="92" t="s">
        <v>221</v>
      </c>
      <c r="C101" s="6" t="s">
        <v>53</v>
      </c>
      <c r="D101" s="79">
        <v>200000000</v>
      </c>
      <c r="E101" s="79"/>
      <c r="F101" s="79"/>
      <c r="G101" s="79"/>
      <c r="H101" s="79"/>
      <c r="I101" s="79">
        <f t="shared" si="40"/>
        <v>200000000</v>
      </c>
      <c r="J101" s="63">
        <v>0</v>
      </c>
      <c r="K101" s="63">
        <v>0</v>
      </c>
      <c r="L101" s="188" t="e">
        <f t="shared" si="34"/>
        <v>#DIV/0!</v>
      </c>
      <c r="M101" s="63"/>
      <c r="N101" s="63"/>
      <c r="O101" s="63"/>
      <c r="P101" s="63"/>
      <c r="Q101" s="63"/>
      <c r="R101" s="63"/>
      <c r="S101" s="63"/>
      <c r="T101" s="63"/>
      <c r="U101" s="63"/>
      <c r="V101" s="63">
        <v>0</v>
      </c>
      <c r="W101" s="64"/>
      <c r="Z101" s="64"/>
      <c r="AA101" s="64"/>
      <c r="AB101" s="64"/>
      <c r="AC101" s="64"/>
      <c r="AD101" s="64"/>
      <c r="AE101" s="64"/>
      <c r="AF101" s="64"/>
    </row>
    <row r="102" spans="1:66" s="29" customFormat="1" ht="84" customHeight="1" x14ac:dyDescent="0.2">
      <c r="A102" s="158"/>
      <c r="B102" s="23" t="s">
        <v>149</v>
      </c>
      <c r="C102" s="5" t="s">
        <v>150</v>
      </c>
      <c r="D102" s="76">
        <f>D103</f>
        <v>21000000000</v>
      </c>
      <c r="E102" s="76">
        <f t="shared" ref="E102:H102" si="53">E103</f>
        <v>0</v>
      </c>
      <c r="F102" s="76">
        <f t="shared" si="53"/>
        <v>0</v>
      </c>
      <c r="G102" s="76">
        <f t="shared" si="53"/>
        <v>0</v>
      </c>
      <c r="H102" s="76">
        <f t="shared" si="53"/>
        <v>0</v>
      </c>
      <c r="I102" s="76">
        <f>D102+E102-F102+G102-H102</f>
        <v>21000000000</v>
      </c>
      <c r="J102" s="76">
        <f>J103</f>
        <v>0</v>
      </c>
      <c r="K102" s="76">
        <f t="shared" ref="K102:V102" si="54">K103</f>
        <v>0</v>
      </c>
      <c r="L102" s="188" t="e">
        <f t="shared" si="34"/>
        <v>#DIV/0!</v>
      </c>
      <c r="M102" s="76"/>
      <c r="N102" s="76"/>
      <c r="O102" s="76"/>
      <c r="P102" s="76"/>
      <c r="Q102" s="76"/>
      <c r="R102" s="76"/>
      <c r="S102" s="76"/>
      <c r="T102" s="76"/>
      <c r="U102" s="76"/>
      <c r="V102" s="76">
        <f t="shared" si="54"/>
        <v>0</v>
      </c>
      <c r="W102" s="64"/>
    </row>
    <row r="103" spans="1:66" s="29" customFormat="1" ht="12.75" customHeight="1" x14ac:dyDescent="0.2">
      <c r="A103" s="158"/>
      <c r="B103" s="141" t="s">
        <v>151</v>
      </c>
      <c r="C103" s="6" t="s">
        <v>107</v>
      </c>
      <c r="D103" s="79">
        <v>21000000000</v>
      </c>
      <c r="E103" s="79">
        <v>0</v>
      </c>
      <c r="F103" s="79">
        <v>0</v>
      </c>
      <c r="G103" s="79">
        <v>0</v>
      </c>
      <c r="H103" s="79">
        <v>0</v>
      </c>
      <c r="I103" s="79">
        <f>D103+E103-F103+G103-H103</f>
        <v>21000000000</v>
      </c>
      <c r="J103" s="83">
        <v>0</v>
      </c>
      <c r="K103" s="83">
        <v>0</v>
      </c>
      <c r="L103" s="188" t="e">
        <f t="shared" si="34"/>
        <v>#DIV/0!</v>
      </c>
      <c r="M103" s="83"/>
      <c r="N103" s="83"/>
      <c r="O103" s="83"/>
      <c r="P103" s="83"/>
      <c r="Q103" s="83"/>
      <c r="R103" s="83"/>
      <c r="S103" s="83"/>
      <c r="T103" s="83"/>
      <c r="U103" s="83"/>
      <c r="V103" s="83">
        <v>0</v>
      </c>
      <c r="W103" s="64"/>
    </row>
    <row r="104" spans="1:66" s="29" customFormat="1" ht="84" customHeight="1" x14ac:dyDescent="0.2">
      <c r="A104" s="158"/>
      <c r="B104" s="23" t="s">
        <v>195</v>
      </c>
      <c r="C104" s="5" t="s">
        <v>196</v>
      </c>
      <c r="D104" s="76">
        <f>D105</f>
        <v>32826083191</v>
      </c>
      <c r="E104" s="76">
        <f t="shared" ref="E104:H104" si="55">E105</f>
        <v>0</v>
      </c>
      <c r="F104" s="76">
        <f t="shared" si="55"/>
        <v>0</v>
      </c>
      <c r="G104" s="76">
        <f t="shared" si="55"/>
        <v>0</v>
      </c>
      <c r="H104" s="76">
        <f t="shared" si="55"/>
        <v>0</v>
      </c>
      <c r="I104" s="76">
        <f>D104+E104-F104+G104-H104</f>
        <v>32826083191</v>
      </c>
      <c r="J104" s="76">
        <f>J105</f>
        <v>0</v>
      </c>
      <c r="K104" s="76">
        <f t="shared" ref="K104:V104" si="56">K105</f>
        <v>0</v>
      </c>
      <c r="L104" s="188" t="e">
        <f t="shared" si="34"/>
        <v>#DIV/0!</v>
      </c>
      <c r="M104" s="76"/>
      <c r="N104" s="76"/>
      <c r="O104" s="76"/>
      <c r="P104" s="76"/>
      <c r="Q104" s="76"/>
      <c r="R104" s="76"/>
      <c r="S104" s="76"/>
      <c r="T104" s="76"/>
      <c r="U104" s="76"/>
      <c r="V104" s="76">
        <f t="shared" si="56"/>
        <v>0</v>
      </c>
      <c r="W104" s="64"/>
    </row>
    <row r="105" spans="1:66" s="29" customFormat="1" ht="12.75" customHeight="1" x14ac:dyDescent="0.2">
      <c r="A105" s="158"/>
      <c r="B105" s="7" t="s">
        <v>197</v>
      </c>
      <c r="C105" s="6" t="s">
        <v>107</v>
      </c>
      <c r="D105" s="79">
        <v>32826083191</v>
      </c>
      <c r="E105" s="79">
        <v>0</v>
      </c>
      <c r="F105" s="79">
        <v>0</v>
      </c>
      <c r="G105" s="79">
        <v>0</v>
      </c>
      <c r="H105" s="79">
        <v>0</v>
      </c>
      <c r="I105" s="80">
        <f t="shared" ref="I105:I109" si="57">+D105+E105-F105+G105-H105</f>
        <v>32826083191</v>
      </c>
      <c r="J105" s="96">
        <v>0</v>
      </c>
      <c r="K105" s="83">
        <v>0</v>
      </c>
      <c r="L105" s="188" t="e">
        <f t="shared" si="34"/>
        <v>#DIV/0!</v>
      </c>
      <c r="M105" s="83"/>
      <c r="N105" s="83"/>
      <c r="O105" s="83"/>
      <c r="P105" s="83"/>
      <c r="Q105" s="83"/>
      <c r="R105" s="83"/>
      <c r="S105" s="83"/>
      <c r="T105" s="83"/>
      <c r="U105" s="83"/>
      <c r="V105" s="83">
        <v>0</v>
      </c>
      <c r="W105" s="64"/>
    </row>
    <row r="106" spans="1:66" s="29" customFormat="1" x14ac:dyDescent="0.2">
      <c r="A106" s="158"/>
      <c r="B106" s="24" t="s">
        <v>109</v>
      </c>
      <c r="C106" s="27" t="s">
        <v>55</v>
      </c>
      <c r="D106" s="74">
        <f>+D107</f>
        <v>3886862565</v>
      </c>
      <c r="E106" s="74">
        <f>+E107</f>
        <v>0</v>
      </c>
      <c r="F106" s="74">
        <f t="shared" ref="F106:H107" si="58">+F107</f>
        <v>0</v>
      </c>
      <c r="G106" s="74">
        <f t="shared" si="58"/>
        <v>0</v>
      </c>
      <c r="H106" s="74">
        <f t="shared" si="58"/>
        <v>0</v>
      </c>
      <c r="I106" s="74">
        <f t="shared" si="57"/>
        <v>3886862565</v>
      </c>
      <c r="J106" s="74"/>
      <c r="K106" s="74"/>
      <c r="L106" s="188" t="e">
        <f t="shared" si="34"/>
        <v>#DIV/0!</v>
      </c>
      <c r="M106" s="74"/>
      <c r="N106" s="74"/>
      <c r="O106" s="74"/>
      <c r="P106" s="74"/>
      <c r="Q106" s="74"/>
      <c r="R106" s="74"/>
      <c r="S106" s="74"/>
      <c r="T106" s="74"/>
      <c r="U106" s="74"/>
      <c r="V106" s="74"/>
      <c r="W106" s="64"/>
    </row>
    <row r="107" spans="1:66" s="28" customFormat="1" ht="38.25" x14ac:dyDescent="0.2">
      <c r="A107" s="158"/>
      <c r="B107" s="23" t="s">
        <v>152</v>
      </c>
      <c r="C107" s="5" t="s">
        <v>198</v>
      </c>
      <c r="D107" s="76">
        <f>SUM(D108:D109)</f>
        <v>3886862565</v>
      </c>
      <c r="E107" s="76">
        <f>+E108</f>
        <v>0</v>
      </c>
      <c r="F107" s="76">
        <f t="shared" si="58"/>
        <v>0</v>
      </c>
      <c r="G107" s="76">
        <f t="shared" si="58"/>
        <v>0</v>
      </c>
      <c r="H107" s="76">
        <f t="shared" si="58"/>
        <v>0</v>
      </c>
      <c r="I107" s="76">
        <f t="shared" si="57"/>
        <v>3886862565</v>
      </c>
      <c r="J107" s="76">
        <f>+J108+J109</f>
        <v>0</v>
      </c>
      <c r="K107" s="76">
        <f t="shared" ref="K107:V107" si="59">+K108+K109</f>
        <v>0</v>
      </c>
      <c r="L107" s="188" t="e">
        <f t="shared" si="34"/>
        <v>#DIV/0!</v>
      </c>
      <c r="M107" s="76"/>
      <c r="N107" s="76"/>
      <c r="O107" s="76"/>
      <c r="P107" s="76"/>
      <c r="Q107" s="76"/>
      <c r="R107" s="76"/>
      <c r="S107" s="76"/>
      <c r="T107" s="76"/>
      <c r="U107" s="76"/>
      <c r="V107" s="76">
        <f t="shared" si="59"/>
        <v>0</v>
      </c>
      <c r="W107" s="64"/>
    </row>
    <row r="108" spans="1:66" s="29" customFormat="1" ht="12.75" customHeight="1" x14ac:dyDescent="0.2">
      <c r="A108" s="158"/>
      <c r="B108" s="7" t="s">
        <v>153</v>
      </c>
      <c r="C108" s="6" t="s">
        <v>107</v>
      </c>
      <c r="D108" s="79">
        <v>3187673559.8000002</v>
      </c>
      <c r="E108" s="72">
        <f>SUM(E109:E110)</f>
        <v>0</v>
      </c>
      <c r="F108" s="72">
        <f>SUM(F109:F110)</f>
        <v>0</v>
      </c>
      <c r="G108" s="72">
        <f>SUM(G109:G110)</f>
        <v>0</v>
      </c>
      <c r="H108" s="72">
        <f>SUM(H109:H110)</f>
        <v>0</v>
      </c>
      <c r="I108" s="79">
        <f t="shared" si="57"/>
        <v>3187673559.8000002</v>
      </c>
      <c r="J108" s="83">
        <v>0</v>
      </c>
      <c r="K108" s="83">
        <v>0</v>
      </c>
      <c r="L108" s="188" t="e">
        <f t="shared" si="34"/>
        <v>#DIV/0!</v>
      </c>
      <c r="M108" s="83"/>
      <c r="N108" s="83"/>
      <c r="O108" s="83"/>
      <c r="P108" s="83"/>
      <c r="Q108" s="83"/>
      <c r="R108" s="83"/>
      <c r="S108" s="83"/>
      <c r="T108" s="83"/>
      <c r="U108" s="83"/>
      <c r="V108" s="83">
        <v>0</v>
      </c>
      <c r="W108" s="64"/>
      <c r="Z108" s="64"/>
      <c r="AA108" s="64"/>
      <c r="AB108" s="64"/>
      <c r="AC108" s="64"/>
      <c r="AD108" s="64"/>
      <c r="AE108" s="64"/>
      <c r="AF108" s="64"/>
    </row>
    <row r="109" spans="1:66" s="29" customFormat="1" ht="12.75" customHeight="1" x14ac:dyDescent="0.2">
      <c r="A109" s="158"/>
      <c r="B109" s="7" t="s">
        <v>154</v>
      </c>
      <c r="C109" s="6" t="s">
        <v>53</v>
      </c>
      <c r="D109" s="79">
        <v>699189005.20000005</v>
      </c>
      <c r="E109" s="79">
        <v>0</v>
      </c>
      <c r="F109" s="79">
        <v>0</v>
      </c>
      <c r="G109" s="79">
        <v>0</v>
      </c>
      <c r="H109" s="79">
        <v>0</v>
      </c>
      <c r="I109" s="79">
        <f t="shared" si="57"/>
        <v>699189005.20000005</v>
      </c>
      <c r="J109" s="83">
        <v>0</v>
      </c>
      <c r="K109" s="83">
        <v>0</v>
      </c>
      <c r="L109" s="188" t="e">
        <f t="shared" si="34"/>
        <v>#DIV/0!</v>
      </c>
      <c r="M109" s="83"/>
      <c r="N109" s="83"/>
      <c r="O109" s="83"/>
      <c r="P109" s="83"/>
      <c r="Q109" s="83"/>
      <c r="R109" s="83"/>
      <c r="S109" s="83"/>
      <c r="T109" s="83"/>
      <c r="U109" s="83"/>
      <c r="V109" s="83">
        <v>0</v>
      </c>
      <c r="W109" s="64"/>
    </row>
    <row r="110" spans="1:66" s="29" customFormat="1" x14ac:dyDescent="0.2">
      <c r="A110" s="158"/>
      <c r="B110" s="24" t="s">
        <v>110</v>
      </c>
      <c r="C110" s="27" t="s">
        <v>56</v>
      </c>
      <c r="D110" s="74">
        <f>+D111</f>
        <v>1500000000</v>
      </c>
      <c r="E110" s="74">
        <f t="shared" ref="E110:H110" si="60">+E111</f>
        <v>0</v>
      </c>
      <c r="F110" s="74">
        <f t="shared" si="60"/>
        <v>0</v>
      </c>
      <c r="G110" s="74">
        <f t="shared" si="60"/>
        <v>0</v>
      </c>
      <c r="H110" s="74">
        <f t="shared" si="60"/>
        <v>0</v>
      </c>
      <c r="I110" s="74">
        <f>+D110+E110-F110+G110-H110</f>
        <v>1500000000</v>
      </c>
      <c r="J110" s="74">
        <f>+J111</f>
        <v>0</v>
      </c>
      <c r="K110" s="74">
        <f t="shared" ref="K110:V110" si="61">+K111</f>
        <v>0</v>
      </c>
      <c r="L110" s="188" t="e">
        <f t="shared" si="34"/>
        <v>#DIV/0!</v>
      </c>
      <c r="M110" s="74"/>
      <c r="N110" s="74"/>
      <c r="O110" s="74"/>
      <c r="P110" s="74"/>
      <c r="Q110" s="74"/>
      <c r="R110" s="74"/>
      <c r="S110" s="74"/>
      <c r="T110" s="74"/>
      <c r="U110" s="74"/>
      <c r="V110" s="74">
        <f t="shared" si="61"/>
        <v>0</v>
      </c>
      <c r="W110" s="64"/>
    </row>
    <row r="111" spans="1:66" s="30" customFormat="1" ht="127.5" customHeight="1" x14ac:dyDescent="0.2">
      <c r="A111" s="159"/>
      <c r="B111" s="23" t="s">
        <v>155</v>
      </c>
      <c r="C111" s="93" t="s">
        <v>199</v>
      </c>
      <c r="D111" s="76">
        <f>D112</f>
        <v>1500000000</v>
      </c>
      <c r="E111" s="76">
        <f>E112</f>
        <v>0</v>
      </c>
      <c r="F111" s="76">
        <f t="shared" ref="F111:H111" si="62">F112</f>
        <v>0</v>
      </c>
      <c r="G111" s="76">
        <f t="shared" si="62"/>
        <v>0</v>
      </c>
      <c r="H111" s="76">
        <f t="shared" si="62"/>
        <v>0</v>
      </c>
      <c r="I111" s="76">
        <f t="shared" ref="I111:I112" si="63">+D111+E111-F111+G111-H111</f>
        <v>1500000000</v>
      </c>
      <c r="J111" s="76">
        <f>J112</f>
        <v>0</v>
      </c>
      <c r="K111" s="76">
        <f t="shared" ref="K111:V111" si="64">K112</f>
        <v>0</v>
      </c>
      <c r="L111" s="188" t="e">
        <f t="shared" si="34"/>
        <v>#DIV/0!</v>
      </c>
      <c r="M111" s="76"/>
      <c r="N111" s="76"/>
      <c r="O111" s="76"/>
      <c r="P111" s="76"/>
      <c r="Q111" s="76"/>
      <c r="R111" s="76"/>
      <c r="S111" s="76"/>
      <c r="T111" s="76"/>
      <c r="U111" s="76"/>
      <c r="V111" s="76">
        <f t="shared" si="64"/>
        <v>0</v>
      </c>
      <c r="W111" s="64"/>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row>
    <row r="112" spans="1:66" s="29" customFormat="1" ht="12.75" customHeight="1" x14ac:dyDescent="0.2">
      <c r="A112" s="158"/>
      <c r="B112" s="92" t="s">
        <v>156</v>
      </c>
      <c r="C112" s="6" t="s">
        <v>53</v>
      </c>
      <c r="D112" s="79">
        <v>1500000000</v>
      </c>
      <c r="E112" s="79">
        <v>0</v>
      </c>
      <c r="F112" s="79">
        <v>0</v>
      </c>
      <c r="G112" s="79">
        <v>0</v>
      </c>
      <c r="H112" s="79">
        <v>0</v>
      </c>
      <c r="I112" s="79">
        <f t="shared" si="63"/>
        <v>1500000000</v>
      </c>
      <c r="J112" s="63">
        <v>0</v>
      </c>
      <c r="K112" s="63">
        <v>0</v>
      </c>
      <c r="L112" s="188" t="e">
        <f t="shared" si="34"/>
        <v>#DIV/0!</v>
      </c>
      <c r="M112" s="63"/>
      <c r="N112" s="63"/>
      <c r="O112" s="63"/>
      <c r="P112" s="63"/>
      <c r="Q112" s="63"/>
      <c r="R112" s="63"/>
      <c r="S112" s="63"/>
      <c r="T112" s="63"/>
      <c r="U112" s="63"/>
      <c r="V112" s="63">
        <v>0</v>
      </c>
      <c r="W112" s="64"/>
    </row>
    <row r="113" spans="1:66" s="26" customFormat="1" x14ac:dyDescent="0.2">
      <c r="A113" s="157"/>
      <c r="B113" s="7">
        <v>2</v>
      </c>
      <c r="C113" s="172" t="s">
        <v>45</v>
      </c>
      <c r="D113" s="72">
        <f>D114+D123</f>
        <v>96287719324.70993</v>
      </c>
      <c r="E113" s="83">
        <f>SUM(E114:E114)</f>
        <v>0</v>
      </c>
      <c r="F113" s="83">
        <f>SUM(F114:F114)</f>
        <v>0</v>
      </c>
      <c r="G113" s="83">
        <f>SUM(G114:G114)</f>
        <v>0</v>
      </c>
      <c r="H113" s="83">
        <f>SUM(H114:H114)</f>
        <v>0</v>
      </c>
      <c r="I113" s="83">
        <f>I114+I123</f>
        <v>96287719324.70993</v>
      </c>
      <c r="J113" s="83">
        <f t="shared" ref="J113:V113" si="65">SUM(J114:J114)</f>
        <v>0</v>
      </c>
      <c r="K113" s="83">
        <f t="shared" si="65"/>
        <v>0</v>
      </c>
      <c r="L113" s="188" t="e">
        <f t="shared" si="34"/>
        <v>#DIV/0!</v>
      </c>
      <c r="M113" s="83"/>
      <c r="N113" s="83"/>
      <c r="O113" s="83"/>
      <c r="P113" s="83"/>
      <c r="Q113" s="83"/>
      <c r="R113" s="83"/>
      <c r="S113" s="83"/>
      <c r="T113" s="83"/>
      <c r="U113" s="83"/>
      <c r="V113" s="83">
        <f t="shared" si="65"/>
        <v>0</v>
      </c>
      <c r="W113" s="64"/>
    </row>
    <row r="114" spans="1:66" s="32" customFormat="1" x14ac:dyDescent="0.2">
      <c r="A114" s="159" t="s">
        <v>297</v>
      </c>
      <c r="B114" s="31"/>
      <c r="C114" s="178" t="s">
        <v>19</v>
      </c>
      <c r="D114" s="85">
        <f>D115+D116+D117+D118+D119+D120+D121+D122</f>
        <v>563677650.01999998</v>
      </c>
      <c r="E114" s="85"/>
      <c r="F114" s="85"/>
      <c r="G114" s="85"/>
      <c r="H114" s="85"/>
      <c r="I114" s="85">
        <f>D114+E114-F114+G114-H114</f>
        <v>563677650.01999998</v>
      </c>
      <c r="J114" s="85">
        <f>J115+J116+J117+J118+J119+J120+J121+J122</f>
        <v>0</v>
      </c>
      <c r="K114" s="85">
        <f t="shared" ref="K114:V114" si="66">K115+K116+K117+K118+K119+K120+K121+K122</f>
        <v>0</v>
      </c>
      <c r="L114" s="188" t="e">
        <f t="shared" si="34"/>
        <v>#DIV/0!</v>
      </c>
      <c r="M114" s="85"/>
      <c r="N114" s="85"/>
      <c r="O114" s="85"/>
      <c r="P114" s="85"/>
      <c r="Q114" s="85"/>
      <c r="R114" s="85"/>
      <c r="S114" s="85"/>
      <c r="T114" s="85"/>
      <c r="U114" s="85"/>
      <c r="V114" s="85">
        <f t="shared" si="66"/>
        <v>0</v>
      </c>
      <c r="W114" s="64"/>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c r="AV114" s="29"/>
      <c r="AW114" s="29"/>
      <c r="AX114" s="29"/>
      <c r="AY114" s="29"/>
      <c r="AZ114" s="29"/>
      <c r="BA114" s="29"/>
      <c r="BB114" s="29"/>
      <c r="BC114" s="29"/>
      <c r="BD114" s="29"/>
      <c r="BE114" s="29"/>
      <c r="BF114" s="29"/>
      <c r="BG114" s="29"/>
      <c r="BH114" s="29"/>
      <c r="BI114" s="29"/>
      <c r="BJ114" s="29"/>
      <c r="BK114" s="29"/>
      <c r="BL114" s="29"/>
      <c r="BM114" s="29"/>
      <c r="BN114" s="29"/>
    </row>
    <row r="115" spans="1:66" s="29" customFormat="1" ht="20.25" customHeight="1" x14ac:dyDescent="0.2">
      <c r="A115" s="152">
        <v>919</v>
      </c>
      <c r="B115" s="146" t="s">
        <v>190</v>
      </c>
      <c r="C115" s="165" t="s">
        <v>102</v>
      </c>
      <c r="D115" s="96">
        <v>9880000</v>
      </c>
      <c r="E115" s="83">
        <v>0</v>
      </c>
      <c r="F115" s="83">
        <v>0</v>
      </c>
      <c r="G115" s="83">
        <v>0</v>
      </c>
      <c r="H115" s="83">
        <v>0</v>
      </c>
      <c r="I115" s="96">
        <f>D115+E115-F115+G115-H115</f>
        <v>9880000</v>
      </c>
      <c r="J115" s="83">
        <v>0</v>
      </c>
      <c r="K115" s="83">
        <v>0</v>
      </c>
      <c r="L115" s="188" t="e">
        <f t="shared" si="34"/>
        <v>#DIV/0!</v>
      </c>
      <c r="M115" s="83"/>
      <c r="N115" s="83"/>
      <c r="O115" s="83"/>
      <c r="P115" s="83"/>
      <c r="Q115" s="83"/>
      <c r="R115" s="83"/>
      <c r="S115" s="83"/>
      <c r="T115" s="83"/>
      <c r="U115" s="83"/>
      <c r="V115" s="83">
        <v>0</v>
      </c>
      <c r="W115" s="64"/>
    </row>
    <row r="116" spans="1:66" s="29" customFormat="1" x14ac:dyDescent="0.2">
      <c r="A116" s="152">
        <v>1151</v>
      </c>
      <c r="B116" s="146" t="s">
        <v>190</v>
      </c>
      <c r="C116" s="165" t="s">
        <v>102</v>
      </c>
      <c r="D116" s="96">
        <v>1250000</v>
      </c>
      <c r="E116" s="83">
        <v>0</v>
      </c>
      <c r="F116" s="83">
        <v>0</v>
      </c>
      <c r="G116" s="83">
        <v>0</v>
      </c>
      <c r="H116" s="83">
        <v>0</v>
      </c>
      <c r="I116" s="96">
        <f>D116+E116-F116+G116-H116</f>
        <v>1250000</v>
      </c>
      <c r="J116" s="83">
        <v>0</v>
      </c>
      <c r="K116" s="83">
        <v>0</v>
      </c>
      <c r="L116" s="188" t="e">
        <f t="shared" si="34"/>
        <v>#DIV/0!</v>
      </c>
      <c r="M116" s="83"/>
      <c r="N116" s="83"/>
      <c r="O116" s="83"/>
      <c r="P116" s="83"/>
      <c r="Q116" s="83"/>
      <c r="R116" s="83"/>
      <c r="S116" s="83"/>
      <c r="T116" s="83"/>
      <c r="U116" s="83"/>
      <c r="V116" s="83">
        <v>0</v>
      </c>
      <c r="W116" s="64"/>
    </row>
    <row r="117" spans="1:66" s="29" customFormat="1" ht="24" x14ac:dyDescent="0.2">
      <c r="A117" s="152">
        <v>1226</v>
      </c>
      <c r="B117" s="146" t="s">
        <v>113</v>
      </c>
      <c r="C117" s="165" t="s">
        <v>101</v>
      </c>
      <c r="D117" s="96">
        <v>4000000.02</v>
      </c>
      <c r="E117" s="83">
        <v>0</v>
      </c>
      <c r="F117" s="83">
        <v>0</v>
      </c>
      <c r="G117" s="83">
        <v>0</v>
      </c>
      <c r="H117" s="83">
        <v>0</v>
      </c>
      <c r="I117" s="96">
        <f>D117+E117-F117+G117-H117</f>
        <v>4000000.02</v>
      </c>
      <c r="J117" s="83">
        <v>0</v>
      </c>
      <c r="K117" s="83">
        <v>0</v>
      </c>
      <c r="L117" s="188" t="e">
        <f t="shared" si="34"/>
        <v>#DIV/0!</v>
      </c>
      <c r="M117" s="83"/>
      <c r="N117" s="83"/>
      <c r="O117" s="83"/>
      <c r="P117" s="83"/>
      <c r="Q117" s="83"/>
      <c r="R117" s="83"/>
      <c r="S117" s="83"/>
      <c r="T117" s="83"/>
      <c r="U117" s="83"/>
      <c r="V117" s="83">
        <v>0</v>
      </c>
      <c r="W117" s="64"/>
    </row>
    <row r="118" spans="1:66" s="29" customFormat="1" ht="23.25" customHeight="1" x14ac:dyDescent="0.2">
      <c r="A118" s="152">
        <v>1227</v>
      </c>
      <c r="B118" s="146" t="s">
        <v>208</v>
      </c>
      <c r="C118" s="165" t="s">
        <v>101</v>
      </c>
      <c r="D118" s="96">
        <v>6600000</v>
      </c>
      <c r="E118" s="83">
        <v>0</v>
      </c>
      <c r="F118" s="83">
        <v>0</v>
      </c>
      <c r="G118" s="83">
        <v>0</v>
      </c>
      <c r="H118" s="83">
        <v>0</v>
      </c>
      <c r="I118" s="96">
        <f t="shared" ref="I118:I122" si="67">D118+E118-F118+G118-H118</f>
        <v>6600000</v>
      </c>
      <c r="J118" s="83">
        <v>0</v>
      </c>
      <c r="K118" s="83">
        <v>0</v>
      </c>
      <c r="L118" s="188" t="e">
        <f t="shared" si="34"/>
        <v>#DIV/0!</v>
      </c>
      <c r="M118" s="83"/>
      <c r="N118" s="83"/>
      <c r="O118" s="83"/>
      <c r="P118" s="83"/>
      <c r="Q118" s="83"/>
      <c r="R118" s="83"/>
      <c r="S118" s="83"/>
      <c r="T118" s="83"/>
      <c r="U118" s="83"/>
      <c r="V118" s="83">
        <v>0</v>
      </c>
      <c r="W118" s="64"/>
    </row>
    <row r="119" spans="1:66" s="29" customFormat="1" x14ac:dyDescent="0.2">
      <c r="A119" s="152">
        <v>1562</v>
      </c>
      <c r="B119" s="146" t="s">
        <v>114</v>
      </c>
      <c r="C119" s="165" t="s">
        <v>102</v>
      </c>
      <c r="D119" s="96">
        <v>47580000</v>
      </c>
      <c r="E119" s="83">
        <v>0</v>
      </c>
      <c r="F119" s="83">
        <v>0</v>
      </c>
      <c r="G119" s="83">
        <v>0</v>
      </c>
      <c r="H119" s="83">
        <v>0</v>
      </c>
      <c r="I119" s="96">
        <f t="shared" si="67"/>
        <v>47580000</v>
      </c>
      <c r="J119" s="83">
        <v>0</v>
      </c>
      <c r="K119" s="83">
        <v>0</v>
      </c>
      <c r="L119" s="188" t="e">
        <f t="shared" si="34"/>
        <v>#DIV/0!</v>
      </c>
      <c r="M119" s="83"/>
      <c r="N119" s="83"/>
      <c r="O119" s="83"/>
      <c r="P119" s="83"/>
      <c r="Q119" s="83"/>
      <c r="R119" s="83"/>
      <c r="S119" s="83"/>
      <c r="T119" s="83"/>
      <c r="U119" s="83"/>
      <c r="V119" s="83">
        <v>0</v>
      </c>
      <c r="W119" s="64"/>
    </row>
    <row r="120" spans="1:66" s="29" customFormat="1" x14ac:dyDescent="0.2">
      <c r="A120" s="152">
        <v>1643</v>
      </c>
      <c r="B120" s="146" t="s">
        <v>117</v>
      </c>
      <c r="C120" s="165" t="s">
        <v>248</v>
      </c>
      <c r="D120" s="96">
        <v>199811628.59</v>
      </c>
      <c r="E120" s="83">
        <v>0</v>
      </c>
      <c r="F120" s="83">
        <v>0</v>
      </c>
      <c r="G120" s="83">
        <v>0</v>
      </c>
      <c r="H120" s="83">
        <v>0</v>
      </c>
      <c r="I120" s="96">
        <f t="shared" si="67"/>
        <v>199811628.59</v>
      </c>
      <c r="J120" s="83">
        <v>0</v>
      </c>
      <c r="K120" s="83">
        <v>0</v>
      </c>
      <c r="L120" s="188" t="e">
        <f t="shared" si="34"/>
        <v>#DIV/0!</v>
      </c>
      <c r="M120" s="83"/>
      <c r="N120" s="83"/>
      <c r="O120" s="83"/>
      <c r="P120" s="83"/>
      <c r="Q120" s="83"/>
      <c r="R120" s="83"/>
      <c r="S120" s="83"/>
      <c r="T120" s="83"/>
      <c r="U120" s="83"/>
      <c r="V120" s="83">
        <v>0</v>
      </c>
      <c r="W120" s="64"/>
    </row>
    <row r="121" spans="1:66" s="29" customFormat="1" x14ac:dyDescent="0.2">
      <c r="A121" s="152">
        <v>1644</v>
      </c>
      <c r="B121" s="146" t="s">
        <v>204</v>
      </c>
      <c r="C121" s="165" t="s">
        <v>248</v>
      </c>
      <c r="D121" s="96">
        <v>284242688.41000003</v>
      </c>
      <c r="E121" s="83">
        <v>0</v>
      </c>
      <c r="F121" s="83">
        <v>0</v>
      </c>
      <c r="G121" s="83">
        <v>0</v>
      </c>
      <c r="H121" s="83">
        <v>0</v>
      </c>
      <c r="I121" s="96">
        <f t="shared" si="67"/>
        <v>284242688.41000003</v>
      </c>
      <c r="J121" s="83">
        <v>0</v>
      </c>
      <c r="K121" s="83">
        <v>0</v>
      </c>
      <c r="L121" s="188" t="e">
        <f t="shared" si="34"/>
        <v>#DIV/0!</v>
      </c>
      <c r="M121" s="83"/>
      <c r="N121" s="83"/>
      <c r="O121" s="83"/>
      <c r="P121" s="83"/>
      <c r="Q121" s="83"/>
      <c r="R121" s="83"/>
      <c r="S121" s="83"/>
      <c r="T121" s="83"/>
      <c r="U121" s="83"/>
      <c r="V121" s="83">
        <v>0</v>
      </c>
      <c r="W121" s="64"/>
    </row>
    <row r="122" spans="1:66" s="29" customFormat="1" x14ac:dyDescent="0.2">
      <c r="A122" s="152">
        <v>1645</v>
      </c>
      <c r="B122" s="146" t="s">
        <v>114</v>
      </c>
      <c r="C122" s="165" t="s">
        <v>102</v>
      </c>
      <c r="D122" s="96">
        <v>10313333</v>
      </c>
      <c r="E122" s="83">
        <v>0</v>
      </c>
      <c r="F122" s="83">
        <v>0</v>
      </c>
      <c r="G122" s="83">
        <v>0</v>
      </c>
      <c r="H122" s="83">
        <v>0</v>
      </c>
      <c r="I122" s="96">
        <f t="shared" si="67"/>
        <v>10313333</v>
      </c>
      <c r="J122" s="83">
        <v>0</v>
      </c>
      <c r="K122" s="83">
        <v>0</v>
      </c>
      <c r="L122" s="188" t="e">
        <f t="shared" si="34"/>
        <v>#DIV/0!</v>
      </c>
      <c r="M122" s="83"/>
      <c r="N122" s="83"/>
      <c r="O122" s="83"/>
      <c r="P122" s="83"/>
      <c r="Q122" s="83"/>
      <c r="R122" s="83"/>
      <c r="S122" s="83"/>
      <c r="T122" s="83"/>
      <c r="U122" s="83"/>
      <c r="V122" s="83">
        <v>0</v>
      </c>
      <c r="W122" s="64"/>
    </row>
    <row r="123" spans="1:66" s="26" customFormat="1" x14ac:dyDescent="0.2">
      <c r="A123" s="157"/>
      <c r="B123" s="31"/>
      <c r="C123" s="178" t="s">
        <v>20</v>
      </c>
      <c r="D123" s="85">
        <f>SUM(D124:D245)</f>
        <v>95724041674.689926</v>
      </c>
      <c r="E123" s="85">
        <f t="shared" ref="E123:V123" si="68">SUM(E124:E245)</f>
        <v>0</v>
      </c>
      <c r="F123" s="85">
        <f t="shared" si="68"/>
        <v>0</v>
      </c>
      <c r="G123" s="85">
        <f t="shared" si="68"/>
        <v>0</v>
      </c>
      <c r="H123" s="85">
        <f t="shared" si="68"/>
        <v>0</v>
      </c>
      <c r="I123" s="85">
        <f t="shared" si="68"/>
        <v>95724041674.689926</v>
      </c>
      <c r="J123" s="85">
        <f t="shared" si="68"/>
        <v>0</v>
      </c>
      <c r="K123" s="85">
        <f t="shared" si="68"/>
        <v>0</v>
      </c>
      <c r="L123" s="188" t="e">
        <f t="shared" si="34"/>
        <v>#DIV/0!</v>
      </c>
      <c r="M123" s="85"/>
      <c r="N123" s="85"/>
      <c r="O123" s="85"/>
      <c r="P123" s="85"/>
      <c r="Q123" s="85"/>
      <c r="R123" s="85"/>
      <c r="S123" s="85"/>
      <c r="T123" s="85"/>
      <c r="U123" s="85"/>
      <c r="V123" s="85">
        <f t="shared" si="68"/>
        <v>0</v>
      </c>
      <c r="W123" s="64">
        <f>I123-V123</f>
        <v>95724041674.689926</v>
      </c>
    </row>
    <row r="124" spans="1:66" x14ac:dyDescent="0.2">
      <c r="A124" s="160">
        <v>1</v>
      </c>
      <c r="B124" s="9" t="s">
        <v>151</v>
      </c>
      <c r="C124" s="8" t="s">
        <v>249</v>
      </c>
      <c r="D124" s="86">
        <v>14505783332.620001</v>
      </c>
      <c r="E124" s="88">
        <v>0</v>
      </c>
      <c r="F124" s="88">
        <v>0</v>
      </c>
      <c r="G124" s="88">
        <v>0</v>
      </c>
      <c r="H124" s="88">
        <v>0</v>
      </c>
      <c r="I124" s="147">
        <f t="shared" ref="I124:I187" si="69">D124+E124-F124+G124-H124</f>
        <v>14505783332.620001</v>
      </c>
      <c r="J124" s="147">
        <v>0</v>
      </c>
      <c r="K124" s="147">
        <v>0</v>
      </c>
      <c r="L124" s="188" t="e">
        <f t="shared" si="34"/>
        <v>#DIV/0!</v>
      </c>
      <c r="M124" s="147"/>
      <c r="N124" s="147"/>
      <c r="O124" s="147"/>
      <c r="P124" s="147"/>
      <c r="Q124" s="147"/>
      <c r="R124" s="147"/>
      <c r="S124" s="147"/>
      <c r="T124" s="147"/>
      <c r="U124" s="147"/>
      <c r="V124" s="147">
        <v>0</v>
      </c>
      <c r="W124" s="64">
        <f>I124-V124</f>
        <v>14505783332.620001</v>
      </c>
    </row>
    <row r="125" spans="1:66" x14ac:dyDescent="0.2">
      <c r="A125" s="160">
        <v>2</v>
      </c>
      <c r="B125" s="9" t="s">
        <v>197</v>
      </c>
      <c r="C125" s="8" t="s">
        <v>107</v>
      </c>
      <c r="D125" s="86">
        <v>63827916809</v>
      </c>
      <c r="E125" s="88">
        <v>0</v>
      </c>
      <c r="F125" s="88">
        <v>0</v>
      </c>
      <c r="G125" s="88">
        <v>0</v>
      </c>
      <c r="H125" s="88">
        <v>0</v>
      </c>
      <c r="I125" s="147">
        <f t="shared" si="69"/>
        <v>63827916809</v>
      </c>
      <c r="J125" s="147">
        <v>0</v>
      </c>
      <c r="K125" s="147">
        <v>0</v>
      </c>
      <c r="L125" s="188" t="e">
        <f t="shared" si="34"/>
        <v>#DIV/0!</v>
      </c>
      <c r="M125" s="147"/>
      <c r="N125" s="147"/>
      <c r="O125" s="147"/>
      <c r="P125" s="147"/>
      <c r="Q125" s="147"/>
      <c r="R125" s="147"/>
      <c r="S125" s="147"/>
      <c r="T125" s="147"/>
      <c r="U125" s="147"/>
      <c r="V125" s="147">
        <v>0</v>
      </c>
      <c r="W125" s="64">
        <f t="shared" ref="W125:W188" si="70">I125-V125</f>
        <v>63827916809</v>
      </c>
    </row>
    <row r="126" spans="1:66" x14ac:dyDescent="0.2">
      <c r="A126" s="160">
        <v>3</v>
      </c>
      <c r="B126" s="9" t="s">
        <v>250</v>
      </c>
      <c r="C126" s="8" t="s">
        <v>249</v>
      </c>
      <c r="D126" s="86">
        <v>490554655.33999997</v>
      </c>
      <c r="E126" s="88">
        <v>0</v>
      </c>
      <c r="F126" s="88">
        <v>0</v>
      </c>
      <c r="G126" s="88">
        <v>0</v>
      </c>
      <c r="H126" s="88">
        <v>0</v>
      </c>
      <c r="I126" s="147">
        <f t="shared" si="69"/>
        <v>490554655.33999997</v>
      </c>
      <c r="J126" s="147">
        <v>0</v>
      </c>
      <c r="K126" s="147">
        <v>0</v>
      </c>
      <c r="L126" s="188" t="e">
        <f t="shared" si="34"/>
        <v>#DIV/0!</v>
      </c>
      <c r="M126" s="147"/>
      <c r="N126" s="147"/>
      <c r="O126" s="147"/>
      <c r="P126" s="147"/>
      <c r="Q126" s="147"/>
      <c r="R126" s="147"/>
      <c r="S126" s="147"/>
      <c r="T126" s="147"/>
      <c r="U126" s="147"/>
      <c r="V126" s="147">
        <v>0</v>
      </c>
      <c r="W126" s="64">
        <f t="shared" si="70"/>
        <v>490554655.33999997</v>
      </c>
    </row>
    <row r="127" spans="1:66" x14ac:dyDescent="0.2">
      <c r="A127" s="160">
        <v>4</v>
      </c>
      <c r="B127" s="9" t="s">
        <v>251</v>
      </c>
      <c r="C127" s="8" t="s">
        <v>107</v>
      </c>
      <c r="D127" s="86">
        <v>2102462019.4000001</v>
      </c>
      <c r="E127" s="88">
        <v>0</v>
      </c>
      <c r="F127" s="88">
        <v>0</v>
      </c>
      <c r="G127" s="88">
        <v>0</v>
      </c>
      <c r="H127" s="88">
        <v>0</v>
      </c>
      <c r="I127" s="147">
        <f t="shared" si="69"/>
        <v>2102462019.4000001</v>
      </c>
      <c r="J127" s="147">
        <v>0</v>
      </c>
      <c r="K127" s="147">
        <v>0</v>
      </c>
      <c r="L127" s="188" t="e">
        <f t="shared" si="34"/>
        <v>#DIV/0!</v>
      </c>
      <c r="M127" s="147"/>
      <c r="N127" s="147"/>
      <c r="O127" s="147"/>
      <c r="P127" s="147"/>
      <c r="Q127" s="147"/>
      <c r="R127" s="147"/>
      <c r="S127" s="147"/>
      <c r="T127" s="147"/>
      <c r="U127" s="147"/>
      <c r="V127" s="147">
        <v>0</v>
      </c>
      <c r="W127" s="64">
        <f t="shared" si="70"/>
        <v>2102462019.4000001</v>
      </c>
    </row>
    <row r="128" spans="1:66" x14ac:dyDescent="0.2">
      <c r="A128" s="160">
        <v>5</v>
      </c>
      <c r="B128" s="9" t="s">
        <v>251</v>
      </c>
      <c r="C128" s="8" t="s">
        <v>107</v>
      </c>
      <c r="D128" s="86">
        <v>125749927.59999999</v>
      </c>
      <c r="E128" s="88">
        <v>0</v>
      </c>
      <c r="F128" s="88">
        <v>0</v>
      </c>
      <c r="G128" s="88">
        <v>0</v>
      </c>
      <c r="H128" s="88">
        <v>0</v>
      </c>
      <c r="I128" s="147">
        <f t="shared" si="69"/>
        <v>125749927.59999999</v>
      </c>
      <c r="J128" s="147">
        <v>0</v>
      </c>
      <c r="K128" s="147">
        <v>0</v>
      </c>
      <c r="L128" s="188" t="e">
        <f t="shared" si="34"/>
        <v>#DIV/0!</v>
      </c>
      <c r="M128" s="147"/>
      <c r="N128" s="147"/>
      <c r="O128" s="147"/>
      <c r="P128" s="147"/>
      <c r="Q128" s="147"/>
      <c r="R128" s="147"/>
      <c r="S128" s="147"/>
      <c r="T128" s="147"/>
      <c r="U128" s="147"/>
      <c r="V128" s="147">
        <v>0</v>
      </c>
      <c r="W128" s="64">
        <f t="shared" si="70"/>
        <v>125749927.59999999</v>
      </c>
    </row>
    <row r="129" spans="1:23" ht="32.25" customHeight="1" x14ac:dyDescent="0.2">
      <c r="A129" s="160">
        <v>6</v>
      </c>
      <c r="B129" s="9" t="s">
        <v>252</v>
      </c>
      <c r="C129" s="8" t="s">
        <v>253</v>
      </c>
      <c r="D129" s="86">
        <v>9048000</v>
      </c>
      <c r="E129" s="88">
        <v>0</v>
      </c>
      <c r="F129" s="88">
        <v>0</v>
      </c>
      <c r="G129" s="88">
        <v>0</v>
      </c>
      <c r="H129" s="88">
        <v>0</v>
      </c>
      <c r="I129" s="147">
        <f t="shared" si="69"/>
        <v>9048000</v>
      </c>
      <c r="J129" s="147">
        <v>0</v>
      </c>
      <c r="K129" s="147">
        <v>0</v>
      </c>
      <c r="L129" s="188" t="e">
        <f t="shared" si="34"/>
        <v>#DIV/0!</v>
      </c>
      <c r="M129" s="147"/>
      <c r="N129" s="147"/>
      <c r="O129" s="147"/>
      <c r="P129" s="147"/>
      <c r="Q129" s="147"/>
      <c r="R129" s="147"/>
      <c r="S129" s="147"/>
      <c r="T129" s="147"/>
      <c r="U129" s="147"/>
      <c r="V129" s="147">
        <v>0</v>
      </c>
      <c r="W129" s="64">
        <f t="shared" si="70"/>
        <v>9048000</v>
      </c>
    </row>
    <row r="130" spans="1:23" ht="30" customHeight="1" x14ac:dyDescent="0.2">
      <c r="A130" s="160">
        <v>7</v>
      </c>
      <c r="B130" s="9" t="s">
        <v>252</v>
      </c>
      <c r="C130" s="8" t="s">
        <v>253</v>
      </c>
      <c r="D130" s="86">
        <v>12000000</v>
      </c>
      <c r="E130" s="88">
        <v>0</v>
      </c>
      <c r="F130" s="88">
        <v>0</v>
      </c>
      <c r="G130" s="88">
        <v>0</v>
      </c>
      <c r="H130" s="88">
        <v>0</v>
      </c>
      <c r="I130" s="147">
        <f t="shared" si="69"/>
        <v>12000000</v>
      </c>
      <c r="J130" s="147">
        <v>0</v>
      </c>
      <c r="K130" s="147">
        <v>0</v>
      </c>
      <c r="L130" s="188" t="e">
        <f t="shared" si="34"/>
        <v>#DIV/0!</v>
      </c>
      <c r="M130" s="147"/>
      <c r="N130" s="147"/>
      <c r="O130" s="147"/>
      <c r="P130" s="147"/>
      <c r="Q130" s="147"/>
      <c r="R130" s="147"/>
      <c r="S130" s="147"/>
      <c r="T130" s="147"/>
      <c r="U130" s="147"/>
      <c r="V130" s="147">
        <v>0</v>
      </c>
      <c r="W130" s="64">
        <f t="shared" si="70"/>
        <v>12000000</v>
      </c>
    </row>
    <row r="131" spans="1:23" ht="27.75" customHeight="1" x14ac:dyDescent="0.2">
      <c r="A131" s="160">
        <v>8</v>
      </c>
      <c r="B131" s="9" t="s">
        <v>254</v>
      </c>
      <c r="C131" s="8" t="s">
        <v>102</v>
      </c>
      <c r="D131" s="86">
        <v>41974000</v>
      </c>
      <c r="E131" s="88">
        <v>0</v>
      </c>
      <c r="F131" s="88">
        <v>0</v>
      </c>
      <c r="G131" s="88">
        <v>0</v>
      </c>
      <c r="H131" s="88">
        <v>0</v>
      </c>
      <c r="I131" s="147">
        <f t="shared" si="69"/>
        <v>41974000</v>
      </c>
      <c r="J131" s="147">
        <v>0</v>
      </c>
      <c r="K131" s="147">
        <v>0</v>
      </c>
      <c r="L131" s="188" t="e">
        <f t="shared" si="34"/>
        <v>#DIV/0!</v>
      </c>
      <c r="M131" s="147"/>
      <c r="N131" s="147"/>
      <c r="O131" s="147"/>
      <c r="P131" s="147"/>
      <c r="Q131" s="147"/>
      <c r="R131" s="147"/>
      <c r="S131" s="147"/>
      <c r="T131" s="147"/>
      <c r="U131" s="147"/>
      <c r="V131" s="147">
        <v>0</v>
      </c>
      <c r="W131" s="64">
        <f t="shared" si="70"/>
        <v>41974000</v>
      </c>
    </row>
    <row r="132" spans="1:23" x14ac:dyDescent="0.2">
      <c r="A132" s="160">
        <v>364</v>
      </c>
      <c r="B132" s="9" t="s">
        <v>147</v>
      </c>
      <c r="C132" s="8" t="s">
        <v>249</v>
      </c>
      <c r="D132" s="86">
        <v>6876100.2000000002</v>
      </c>
      <c r="E132" s="88">
        <v>0</v>
      </c>
      <c r="F132" s="88">
        <v>0</v>
      </c>
      <c r="G132" s="88">
        <v>0</v>
      </c>
      <c r="H132" s="88">
        <v>0</v>
      </c>
      <c r="I132" s="147">
        <f t="shared" si="69"/>
        <v>6876100.2000000002</v>
      </c>
      <c r="J132" s="147">
        <v>0</v>
      </c>
      <c r="K132" s="147">
        <v>0</v>
      </c>
      <c r="L132" s="188" t="e">
        <f t="shared" si="34"/>
        <v>#DIV/0!</v>
      </c>
      <c r="M132" s="147"/>
      <c r="N132" s="147"/>
      <c r="O132" s="147"/>
      <c r="P132" s="147"/>
      <c r="Q132" s="147"/>
      <c r="R132" s="147"/>
      <c r="S132" s="147"/>
      <c r="T132" s="147"/>
      <c r="U132" s="147"/>
      <c r="V132" s="147">
        <v>0</v>
      </c>
      <c r="W132" s="64">
        <f t="shared" si="70"/>
        <v>6876100.2000000002</v>
      </c>
    </row>
    <row r="133" spans="1:23" x14ac:dyDescent="0.2">
      <c r="A133" s="160">
        <v>365</v>
      </c>
      <c r="B133" s="9" t="s">
        <v>147</v>
      </c>
      <c r="C133" s="8" t="s">
        <v>249</v>
      </c>
      <c r="D133" s="86">
        <v>3257285.1</v>
      </c>
      <c r="E133" s="88">
        <v>0</v>
      </c>
      <c r="F133" s="88">
        <v>0</v>
      </c>
      <c r="G133" s="88">
        <v>0</v>
      </c>
      <c r="H133" s="88">
        <v>0</v>
      </c>
      <c r="I133" s="147">
        <f t="shared" si="69"/>
        <v>3257285.1</v>
      </c>
      <c r="J133" s="147">
        <v>0</v>
      </c>
      <c r="K133" s="147">
        <v>0</v>
      </c>
      <c r="L133" s="188" t="e">
        <f t="shared" si="34"/>
        <v>#DIV/0!</v>
      </c>
      <c r="M133" s="147"/>
      <c r="N133" s="147"/>
      <c r="O133" s="147"/>
      <c r="P133" s="147"/>
      <c r="Q133" s="147"/>
      <c r="R133" s="147"/>
      <c r="S133" s="147"/>
      <c r="T133" s="147"/>
      <c r="U133" s="147"/>
      <c r="V133" s="147">
        <v>0</v>
      </c>
      <c r="W133" s="64">
        <f t="shared" si="70"/>
        <v>3257285.1</v>
      </c>
    </row>
    <row r="134" spans="1:23" x14ac:dyDescent="0.2">
      <c r="A134" s="160">
        <v>366</v>
      </c>
      <c r="B134" s="9" t="s">
        <v>147</v>
      </c>
      <c r="C134" s="8" t="s">
        <v>249</v>
      </c>
      <c r="D134" s="86">
        <v>6296011</v>
      </c>
      <c r="E134" s="88">
        <v>0</v>
      </c>
      <c r="F134" s="88">
        <v>0</v>
      </c>
      <c r="G134" s="88">
        <v>0</v>
      </c>
      <c r="H134" s="88">
        <v>0</v>
      </c>
      <c r="I134" s="147">
        <f t="shared" si="69"/>
        <v>6296011</v>
      </c>
      <c r="J134" s="147">
        <v>0</v>
      </c>
      <c r="K134" s="147">
        <v>0</v>
      </c>
      <c r="L134" s="188" t="e">
        <f t="shared" si="34"/>
        <v>#DIV/0!</v>
      </c>
      <c r="M134" s="147"/>
      <c r="N134" s="147"/>
      <c r="O134" s="147"/>
      <c r="P134" s="147"/>
      <c r="Q134" s="147"/>
      <c r="R134" s="147"/>
      <c r="S134" s="147"/>
      <c r="T134" s="147"/>
      <c r="U134" s="147"/>
      <c r="V134" s="147">
        <v>0</v>
      </c>
      <c r="W134" s="64">
        <f t="shared" si="70"/>
        <v>6296011</v>
      </c>
    </row>
    <row r="135" spans="1:23" x14ac:dyDescent="0.2">
      <c r="A135" s="160">
        <v>368</v>
      </c>
      <c r="B135" s="9" t="s">
        <v>147</v>
      </c>
      <c r="C135" s="8" t="s">
        <v>249</v>
      </c>
      <c r="D135" s="86">
        <v>4080139.7</v>
      </c>
      <c r="E135" s="88">
        <v>0</v>
      </c>
      <c r="F135" s="88">
        <v>0</v>
      </c>
      <c r="G135" s="88">
        <v>0</v>
      </c>
      <c r="H135" s="88">
        <v>0</v>
      </c>
      <c r="I135" s="147">
        <f t="shared" si="69"/>
        <v>4080139.7</v>
      </c>
      <c r="J135" s="147">
        <v>0</v>
      </c>
      <c r="K135" s="147">
        <v>0</v>
      </c>
      <c r="L135" s="188" t="e">
        <f t="shared" si="34"/>
        <v>#DIV/0!</v>
      </c>
      <c r="M135" s="147"/>
      <c r="N135" s="147"/>
      <c r="O135" s="147"/>
      <c r="P135" s="147"/>
      <c r="Q135" s="147"/>
      <c r="R135" s="147"/>
      <c r="S135" s="147"/>
      <c r="T135" s="147"/>
      <c r="U135" s="147"/>
      <c r="V135" s="147">
        <v>0</v>
      </c>
      <c r="W135" s="64">
        <f t="shared" si="70"/>
        <v>4080139.7</v>
      </c>
    </row>
    <row r="136" spans="1:23" x14ac:dyDescent="0.2">
      <c r="A136" s="160">
        <v>369</v>
      </c>
      <c r="B136" s="9" t="s">
        <v>147</v>
      </c>
      <c r="C136" s="8" t="s">
        <v>249</v>
      </c>
      <c r="D136" s="86">
        <v>3220647.9</v>
      </c>
      <c r="E136" s="88">
        <v>0</v>
      </c>
      <c r="F136" s="88">
        <v>0</v>
      </c>
      <c r="G136" s="88">
        <v>0</v>
      </c>
      <c r="H136" s="88">
        <v>0</v>
      </c>
      <c r="I136" s="147">
        <f t="shared" si="69"/>
        <v>3220647.9</v>
      </c>
      <c r="J136" s="147">
        <v>0</v>
      </c>
      <c r="K136" s="147">
        <v>0</v>
      </c>
      <c r="L136" s="188" t="e">
        <f t="shared" ref="L136:L199" si="71">+J136/K136-1</f>
        <v>#DIV/0!</v>
      </c>
      <c r="M136" s="147"/>
      <c r="N136" s="147"/>
      <c r="O136" s="147"/>
      <c r="P136" s="147"/>
      <c r="Q136" s="147"/>
      <c r="R136" s="147"/>
      <c r="S136" s="147"/>
      <c r="T136" s="147"/>
      <c r="U136" s="147"/>
      <c r="V136" s="147">
        <v>0</v>
      </c>
      <c r="W136" s="64">
        <f t="shared" si="70"/>
        <v>3220647.9</v>
      </c>
    </row>
    <row r="137" spans="1:23" x14ac:dyDescent="0.2">
      <c r="A137" s="160">
        <v>370</v>
      </c>
      <c r="B137" s="9" t="s">
        <v>147</v>
      </c>
      <c r="C137" s="8" t="s">
        <v>249</v>
      </c>
      <c r="D137" s="86">
        <v>8956108.3000000007</v>
      </c>
      <c r="E137" s="88">
        <v>0</v>
      </c>
      <c r="F137" s="88">
        <v>0</v>
      </c>
      <c r="G137" s="88">
        <v>0</v>
      </c>
      <c r="H137" s="88">
        <v>0</v>
      </c>
      <c r="I137" s="147">
        <f t="shared" si="69"/>
        <v>8956108.3000000007</v>
      </c>
      <c r="J137" s="147">
        <v>0</v>
      </c>
      <c r="K137" s="147">
        <v>0</v>
      </c>
      <c r="L137" s="188" t="e">
        <f t="shared" si="71"/>
        <v>#DIV/0!</v>
      </c>
      <c r="M137" s="147"/>
      <c r="N137" s="147"/>
      <c r="O137" s="147"/>
      <c r="P137" s="147"/>
      <c r="Q137" s="147"/>
      <c r="R137" s="147"/>
      <c r="S137" s="147"/>
      <c r="T137" s="147"/>
      <c r="U137" s="147"/>
      <c r="V137" s="147">
        <v>0</v>
      </c>
      <c r="W137" s="64">
        <f t="shared" si="70"/>
        <v>8956108.3000000007</v>
      </c>
    </row>
    <row r="138" spans="1:23" x14ac:dyDescent="0.2">
      <c r="A138" s="160">
        <v>371</v>
      </c>
      <c r="B138" s="9" t="s">
        <v>147</v>
      </c>
      <c r="C138" s="8" t="s">
        <v>249</v>
      </c>
      <c r="D138" s="86">
        <v>7358477.2000000002</v>
      </c>
      <c r="E138" s="88">
        <v>0</v>
      </c>
      <c r="F138" s="88">
        <v>0</v>
      </c>
      <c r="G138" s="88">
        <v>0</v>
      </c>
      <c r="H138" s="88">
        <v>0</v>
      </c>
      <c r="I138" s="147">
        <f t="shared" si="69"/>
        <v>7358477.2000000002</v>
      </c>
      <c r="J138" s="147">
        <v>0</v>
      </c>
      <c r="K138" s="147">
        <v>0</v>
      </c>
      <c r="L138" s="188" t="e">
        <f t="shared" si="71"/>
        <v>#DIV/0!</v>
      </c>
      <c r="M138" s="147"/>
      <c r="N138" s="147"/>
      <c r="O138" s="147"/>
      <c r="P138" s="147"/>
      <c r="Q138" s="147"/>
      <c r="R138" s="147"/>
      <c r="S138" s="147"/>
      <c r="T138" s="147"/>
      <c r="U138" s="147"/>
      <c r="V138" s="147">
        <v>0</v>
      </c>
      <c r="W138" s="64">
        <f t="shared" si="70"/>
        <v>7358477.2000000002</v>
      </c>
    </row>
    <row r="139" spans="1:23" x14ac:dyDescent="0.2">
      <c r="A139" s="160">
        <v>373</v>
      </c>
      <c r="B139" s="9" t="s">
        <v>147</v>
      </c>
      <c r="C139" s="8" t="s">
        <v>249</v>
      </c>
      <c r="D139" s="86">
        <v>4019503.7</v>
      </c>
      <c r="E139" s="88">
        <v>0</v>
      </c>
      <c r="F139" s="88">
        <v>0</v>
      </c>
      <c r="G139" s="88">
        <v>0</v>
      </c>
      <c r="H139" s="88">
        <v>0</v>
      </c>
      <c r="I139" s="147">
        <f t="shared" si="69"/>
        <v>4019503.7</v>
      </c>
      <c r="J139" s="147">
        <v>0</v>
      </c>
      <c r="K139" s="147">
        <v>0</v>
      </c>
      <c r="L139" s="188" t="e">
        <f t="shared" si="71"/>
        <v>#DIV/0!</v>
      </c>
      <c r="M139" s="147"/>
      <c r="N139" s="147"/>
      <c r="O139" s="147"/>
      <c r="P139" s="147"/>
      <c r="Q139" s="147"/>
      <c r="R139" s="147"/>
      <c r="S139" s="147"/>
      <c r="T139" s="147"/>
      <c r="U139" s="147"/>
      <c r="V139" s="147">
        <v>0</v>
      </c>
      <c r="W139" s="64">
        <f t="shared" si="70"/>
        <v>4019503.7</v>
      </c>
    </row>
    <row r="140" spans="1:23" x14ac:dyDescent="0.2">
      <c r="A140" s="160">
        <v>374</v>
      </c>
      <c r="B140" s="9" t="s">
        <v>147</v>
      </c>
      <c r="C140" s="8" t="s">
        <v>249</v>
      </c>
      <c r="D140" s="86">
        <v>3230653.9</v>
      </c>
      <c r="E140" s="88">
        <v>0</v>
      </c>
      <c r="F140" s="88">
        <v>0</v>
      </c>
      <c r="G140" s="88">
        <v>0</v>
      </c>
      <c r="H140" s="88">
        <v>0</v>
      </c>
      <c r="I140" s="147">
        <f t="shared" si="69"/>
        <v>3230653.9</v>
      </c>
      <c r="J140" s="147">
        <v>0</v>
      </c>
      <c r="K140" s="147">
        <v>0</v>
      </c>
      <c r="L140" s="188" t="e">
        <f t="shared" si="71"/>
        <v>#DIV/0!</v>
      </c>
      <c r="M140" s="147"/>
      <c r="N140" s="147"/>
      <c r="O140" s="147"/>
      <c r="P140" s="147"/>
      <c r="Q140" s="147"/>
      <c r="R140" s="147"/>
      <c r="S140" s="147"/>
      <c r="T140" s="147"/>
      <c r="U140" s="147"/>
      <c r="V140" s="147">
        <v>0</v>
      </c>
      <c r="W140" s="64">
        <f t="shared" si="70"/>
        <v>3230653.9</v>
      </c>
    </row>
    <row r="141" spans="1:23" x14ac:dyDescent="0.2">
      <c r="A141" s="160">
        <v>375</v>
      </c>
      <c r="B141" s="9" t="s">
        <v>147</v>
      </c>
      <c r="C141" s="8" t="s">
        <v>249</v>
      </c>
      <c r="D141" s="86">
        <v>3193728.1</v>
      </c>
      <c r="E141" s="88">
        <v>0</v>
      </c>
      <c r="F141" s="88">
        <v>0</v>
      </c>
      <c r="G141" s="88">
        <v>0</v>
      </c>
      <c r="H141" s="88">
        <v>0</v>
      </c>
      <c r="I141" s="147">
        <f t="shared" si="69"/>
        <v>3193728.1</v>
      </c>
      <c r="J141" s="147">
        <v>0</v>
      </c>
      <c r="K141" s="147">
        <v>0</v>
      </c>
      <c r="L141" s="188" t="e">
        <f t="shared" si="71"/>
        <v>#DIV/0!</v>
      </c>
      <c r="M141" s="147"/>
      <c r="N141" s="147"/>
      <c r="O141" s="147"/>
      <c r="P141" s="147"/>
      <c r="Q141" s="147"/>
      <c r="R141" s="147"/>
      <c r="S141" s="147"/>
      <c r="T141" s="147"/>
      <c r="U141" s="147"/>
      <c r="V141" s="147">
        <v>0</v>
      </c>
      <c r="W141" s="64">
        <f t="shared" si="70"/>
        <v>3193728.1</v>
      </c>
    </row>
    <row r="142" spans="1:23" x14ac:dyDescent="0.2">
      <c r="A142" s="160">
        <v>385</v>
      </c>
      <c r="B142" s="9" t="s">
        <v>147</v>
      </c>
      <c r="C142" s="8" t="s">
        <v>249</v>
      </c>
      <c r="D142" s="86">
        <v>3805855.9</v>
      </c>
      <c r="E142" s="88">
        <v>0</v>
      </c>
      <c r="F142" s="88">
        <v>0</v>
      </c>
      <c r="G142" s="88">
        <v>0</v>
      </c>
      <c r="H142" s="88">
        <v>0</v>
      </c>
      <c r="I142" s="147">
        <f t="shared" si="69"/>
        <v>3805855.9</v>
      </c>
      <c r="J142" s="147">
        <v>0</v>
      </c>
      <c r="K142" s="147">
        <v>0</v>
      </c>
      <c r="L142" s="188" t="e">
        <f t="shared" si="71"/>
        <v>#DIV/0!</v>
      </c>
      <c r="M142" s="147"/>
      <c r="N142" s="147"/>
      <c r="O142" s="147"/>
      <c r="P142" s="147"/>
      <c r="Q142" s="147"/>
      <c r="R142" s="147"/>
      <c r="S142" s="147"/>
      <c r="T142" s="147"/>
      <c r="U142" s="147"/>
      <c r="V142" s="147">
        <v>0</v>
      </c>
      <c r="W142" s="64">
        <f t="shared" si="70"/>
        <v>3805855.9</v>
      </c>
    </row>
    <row r="143" spans="1:23" x14ac:dyDescent="0.2">
      <c r="A143" s="160">
        <v>386</v>
      </c>
      <c r="B143" s="9" t="s">
        <v>147</v>
      </c>
      <c r="C143" s="8" t="s">
        <v>249</v>
      </c>
      <c r="D143" s="86">
        <v>6766437.5</v>
      </c>
      <c r="E143" s="88">
        <v>0</v>
      </c>
      <c r="F143" s="88">
        <v>0</v>
      </c>
      <c r="G143" s="88">
        <v>0</v>
      </c>
      <c r="H143" s="88">
        <v>0</v>
      </c>
      <c r="I143" s="147">
        <f t="shared" si="69"/>
        <v>6766437.5</v>
      </c>
      <c r="J143" s="147">
        <v>0</v>
      </c>
      <c r="K143" s="147">
        <v>0</v>
      </c>
      <c r="L143" s="188" t="e">
        <f t="shared" si="71"/>
        <v>#DIV/0!</v>
      </c>
      <c r="M143" s="147"/>
      <c r="N143" s="147"/>
      <c r="O143" s="147"/>
      <c r="P143" s="147"/>
      <c r="Q143" s="147"/>
      <c r="R143" s="147"/>
      <c r="S143" s="147"/>
      <c r="T143" s="147"/>
      <c r="U143" s="147"/>
      <c r="V143" s="147">
        <v>0</v>
      </c>
      <c r="W143" s="64">
        <f t="shared" si="70"/>
        <v>6766437.5</v>
      </c>
    </row>
    <row r="144" spans="1:23" x14ac:dyDescent="0.2">
      <c r="A144" s="160">
        <v>387</v>
      </c>
      <c r="B144" s="9" t="s">
        <v>147</v>
      </c>
      <c r="C144" s="8" t="s">
        <v>249</v>
      </c>
      <c r="D144" s="86">
        <v>4018250.3</v>
      </c>
      <c r="E144" s="88">
        <v>0</v>
      </c>
      <c r="F144" s="88">
        <v>0</v>
      </c>
      <c r="G144" s="88">
        <v>0</v>
      </c>
      <c r="H144" s="88">
        <v>0</v>
      </c>
      <c r="I144" s="147">
        <f t="shared" si="69"/>
        <v>4018250.3</v>
      </c>
      <c r="J144" s="147">
        <v>0</v>
      </c>
      <c r="K144" s="147">
        <v>0</v>
      </c>
      <c r="L144" s="188" t="e">
        <f t="shared" si="71"/>
        <v>#DIV/0!</v>
      </c>
      <c r="M144" s="147"/>
      <c r="N144" s="147"/>
      <c r="O144" s="147"/>
      <c r="P144" s="147"/>
      <c r="Q144" s="147"/>
      <c r="R144" s="147"/>
      <c r="S144" s="147"/>
      <c r="T144" s="147"/>
      <c r="U144" s="147"/>
      <c r="V144" s="147">
        <v>0</v>
      </c>
      <c r="W144" s="64">
        <f t="shared" si="70"/>
        <v>4018250.3</v>
      </c>
    </row>
    <row r="145" spans="1:24" x14ac:dyDescent="0.2">
      <c r="A145" s="160">
        <v>388</v>
      </c>
      <c r="B145" s="9" t="s">
        <v>147</v>
      </c>
      <c r="C145" s="8" t="s">
        <v>249</v>
      </c>
      <c r="D145" s="86">
        <v>3613194.6</v>
      </c>
      <c r="E145" s="88">
        <v>0</v>
      </c>
      <c r="F145" s="88">
        <v>0</v>
      </c>
      <c r="G145" s="88">
        <v>0</v>
      </c>
      <c r="H145" s="88">
        <v>0</v>
      </c>
      <c r="I145" s="147">
        <f t="shared" si="69"/>
        <v>3613194.6</v>
      </c>
      <c r="J145" s="147">
        <v>0</v>
      </c>
      <c r="K145" s="147">
        <v>0</v>
      </c>
      <c r="L145" s="188" t="e">
        <f t="shared" si="71"/>
        <v>#DIV/0!</v>
      </c>
      <c r="M145" s="147"/>
      <c r="N145" s="147"/>
      <c r="O145" s="147"/>
      <c r="P145" s="147"/>
      <c r="Q145" s="147"/>
      <c r="R145" s="147"/>
      <c r="S145" s="147"/>
      <c r="T145" s="147"/>
      <c r="U145" s="147"/>
      <c r="V145" s="147">
        <v>0</v>
      </c>
      <c r="W145" s="64">
        <f t="shared" si="70"/>
        <v>3613194.6</v>
      </c>
    </row>
    <row r="146" spans="1:24" x14ac:dyDescent="0.2">
      <c r="A146" s="160">
        <v>389</v>
      </c>
      <c r="B146" s="9" t="s">
        <v>147</v>
      </c>
      <c r="C146" s="8" t="s">
        <v>249</v>
      </c>
      <c r="D146" s="86">
        <v>3189595.8</v>
      </c>
      <c r="E146" s="88">
        <v>0</v>
      </c>
      <c r="F146" s="88">
        <v>0</v>
      </c>
      <c r="G146" s="88">
        <v>0</v>
      </c>
      <c r="H146" s="88">
        <v>0</v>
      </c>
      <c r="I146" s="147">
        <f t="shared" si="69"/>
        <v>3189595.8</v>
      </c>
      <c r="J146" s="147">
        <v>0</v>
      </c>
      <c r="K146" s="147">
        <v>0</v>
      </c>
      <c r="L146" s="188" t="e">
        <f t="shared" si="71"/>
        <v>#DIV/0!</v>
      </c>
      <c r="M146" s="147"/>
      <c r="N146" s="147"/>
      <c r="O146" s="147"/>
      <c r="P146" s="147"/>
      <c r="Q146" s="147"/>
      <c r="R146" s="147"/>
      <c r="S146" s="147"/>
      <c r="T146" s="147"/>
      <c r="U146" s="147"/>
      <c r="V146" s="147">
        <v>0</v>
      </c>
      <c r="W146" s="64">
        <f t="shared" si="70"/>
        <v>3189595.8</v>
      </c>
    </row>
    <row r="147" spans="1:24" x14ac:dyDescent="0.2">
      <c r="A147" s="160">
        <v>400</v>
      </c>
      <c r="B147" s="9" t="s">
        <v>147</v>
      </c>
      <c r="C147" s="8" t="s">
        <v>249</v>
      </c>
      <c r="D147" s="86">
        <v>3746506.4</v>
      </c>
      <c r="E147" s="88">
        <v>0</v>
      </c>
      <c r="F147" s="88">
        <v>0</v>
      </c>
      <c r="G147" s="88">
        <v>0</v>
      </c>
      <c r="H147" s="88">
        <v>0</v>
      </c>
      <c r="I147" s="147">
        <f t="shared" si="69"/>
        <v>3746506.4</v>
      </c>
      <c r="J147" s="147">
        <v>0</v>
      </c>
      <c r="K147" s="147">
        <v>0</v>
      </c>
      <c r="L147" s="188" t="e">
        <f t="shared" si="71"/>
        <v>#DIV/0!</v>
      </c>
      <c r="M147" s="147"/>
      <c r="N147" s="147"/>
      <c r="O147" s="147"/>
      <c r="P147" s="147"/>
      <c r="Q147" s="147"/>
      <c r="R147" s="147"/>
      <c r="S147" s="147"/>
      <c r="T147" s="147"/>
      <c r="U147" s="147"/>
      <c r="V147" s="147">
        <v>0</v>
      </c>
      <c r="W147" s="64">
        <f t="shared" si="70"/>
        <v>3746506.4</v>
      </c>
    </row>
    <row r="148" spans="1:24" x14ac:dyDescent="0.2">
      <c r="A148" s="160">
        <v>405</v>
      </c>
      <c r="B148" s="9" t="s">
        <v>147</v>
      </c>
      <c r="C148" s="8" t="s">
        <v>249</v>
      </c>
      <c r="D148" s="86">
        <v>3239743.6</v>
      </c>
      <c r="E148" s="88">
        <v>0</v>
      </c>
      <c r="F148" s="88">
        <v>0</v>
      </c>
      <c r="G148" s="88">
        <v>0</v>
      </c>
      <c r="H148" s="88">
        <v>0</v>
      </c>
      <c r="I148" s="147">
        <f t="shared" si="69"/>
        <v>3239743.6</v>
      </c>
      <c r="J148" s="147">
        <v>0</v>
      </c>
      <c r="K148" s="147">
        <v>0</v>
      </c>
      <c r="L148" s="188" t="e">
        <f t="shared" si="71"/>
        <v>#DIV/0!</v>
      </c>
      <c r="M148" s="147"/>
      <c r="N148" s="147"/>
      <c r="O148" s="147"/>
      <c r="P148" s="147"/>
      <c r="Q148" s="147"/>
      <c r="R148" s="147"/>
      <c r="S148" s="147"/>
      <c r="T148" s="147"/>
      <c r="U148" s="147"/>
      <c r="V148" s="147">
        <v>0</v>
      </c>
      <c r="W148" s="64">
        <f t="shared" si="70"/>
        <v>3239743.6</v>
      </c>
    </row>
    <row r="149" spans="1:24" ht="12.75" customHeight="1" x14ac:dyDescent="0.2">
      <c r="A149" s="160">
        <v>409</v>
      </c>
      <c r="B149" s="9" t="s">
        <v>252</v>
      </c>
      <c r="C149" s="8" t="s">
        <v>253</v>
      </c>
      <c r="D149" s="86">
        <v>46110950.200000003</v>
      </c>
      <c r="E149" s="88">
        <v>0</v>
      </c>
      <c r="F149" s="88">
        <v>0</v>
      </c>
      <c r="G149" s="88">
        <v>0</v>
      </c>
      <c r="H149" s="88">
        <v>0</v>
      </c>
      <c r="I149" s="147">
        <f t="shared" si="69"/>
        <v>46110950.200000003</v>
      </c>
      <c r="J149" s="88">
        <v>0</v>
      </c>
      <c r="K149" s="88">
        <v>0</v>
      </c>
      <c r="L149" s="188" t="e">
        <f t="shared" si="71"/>
        <v>#DIV/0!</v>
      </c>
      <c r="M149" s="88"/>
      <c r="N149" s="88"/>
      <c r="O149" s="88"/>
      <c r="P149" s="88"/>
      <c r="Q149" s="88"/>
      <c r="R149" s="88"/>
      <c r="S149" s="88"/>
      <c r="T149" s="88"/>
      <c r="U149" s="88"/>
      <c r="V149" s="88">
        <v>0</v>
      </c>
      <c r="W149" s="64">
        <f t="shared" si="70"/>
        <v>46110950.200000003</v>
      </c>
    </row>
    <row r="150" spans="1:24" ht="27" customHeight="1" x14ac:dyDescent="0.2">
      <c r="A150" s="160">
        <v>410</v>
      </c>
      <c r="B150" s="9" t="s">
        <v>254</v>
      </c>
      <c r="C150" s="8" t="s">
        <v>102</v>
      </c>
      <c r="D150" s="86">
        <v>271995556.69999999</v>
      </c>
      <c r="E150" s="88">
        <v>0</v>
      </c>
      <c r="F150" s="88">
        <v>0</v>
      </c>
      <c r="G150" s="88">
        <v>0</v>
      </c>
      <c r="H150" s="88">
        <v>0</v>
      </c>
      <c r="I150" s="147">
        <f t="shared" si="69"/>
        <v>271995556.69999999</v>
      </c>
      <c r="J150" s="88">
        <v>0</v>
      </c>
      <c r="K150" s="88">
        <v>0</v>
      </c>
      <c r="L150" s="188" t="e">
        <f t="shared" si="71"/>
        <v>#DIV/0!</v>
      </c>
      <c r="M150" s="88"/>
      <c r="N150" s="88"/>
      <c r="O150" s="88"/>
      <c r="P150" s="88"/>
      <c r="Q150" s="88"/>
      <c r="R150" s="88"/>
      <c r="S150" s="88"/>
      <c r="T150" s="88"/>
      <c r="U150" s="88"/>
      <c r="V150" s="88">
        <v>0</v>
      </c>
      <c r="W150" s="64">
        <f t="shared" si="70"/>
        <v>271995556.69999999</v>
      </c>
    </row>
    <row r="151" spans="1:24" x14ac:dyDescent="0.2">
      <c r="A151" s="160">
        <v>414</v>
      </c>
      <c r="B151" s="9" t="s">
        <v>147</v>
      </c>
      <c r="C151" s="8" t="s">
        <v>249</v>
      </c>
      <c r="D151" s="86">
        <v>6547743.4000000004</v>
      </c>
      <c r="E151" s="88">
        <v>0</v>
      </c>
      <c r="F151" s="88">
        <v>0</v>
      </c>
      <c r="G151" s="88">
        <v>0</v>
      </c>
      <c r="H151" s="88">
        <v>0</v>
      </c>
      <c r="I151" s="147">
        <f t="shared" si="69"/>
        <v>6547743.4000000004</v>
      </c>
      <c r="J151" s="88">
        <v>0</v>
      </c>
      <c r="K151" s="88">
        <v>0</v>
      </c>
      <c r="L151" s="188" t="e">
        <f t="shared" si="71"/>
        <v>#DIV/0!</v>
      </c>
      <c r="M151" s="88"/>
      <c r="N151" s="88"/>
      <c r="O151" s="88"/>
      <c r="P151" s="88"/>
      <c r="Q151" s="88"/>
      <c r="R151" s="88"/>
      <c r="S151" s="88"/>
      <c r="T151" s="88"/>
      <c r="U151" s="88"/>
      <c r="V151" s="88">
        <v>0</v>
      </c>
      <c r="W151" s="64">
        <f t="shared" si="70"/>
        <v>6547743.4000000004</v>
      </c>
    </row>
    <row r="152" spans="1:24" x14ac:dyDescent="0.2">
      <c r="A152" s="160">
        <v>729</v>
      </c>
      <c r="B152" s="9" t="s">
        <v>231</v>
      </c>
      <c r="C152" s="8" t="s">
        <v>107</v>
      </c>
      <c r="D152" s="86">
        <v>238235978.69</v>
      </c>
      <c r="E152" s="88">
        <v>0</v>
      </c>
      <c r="F152" s="88">
        <v>0</v>
      </c>
      <c r="G152" s="88">
        <v>0</v>
      </c>
      <c r="H152" s="88">
        <v>0</v>
      </c>
      <c r="I152" s="147">
        <f t="shared" si="69"/>
        <v>238235978.69</v>
      </c>
      <c r="J152" s="88">
        <v>0</v>
      </c>
      <c r="K152" s="88">
        <v>0</v>
      </c>
      <c r="L152" s="188" t="e">
        <f t="shared" si="71"/>
        <v>#DIV/0!</v>
      </c>
      <c r="M152" s="88"/>
      <c r="N152" s="88"/>
      <c r="O152" s="88"/>
      <c r="P152" s="88"/>
      <c r="Q152" s="88"/>
      <c r="R152" s="88"/>
      <c r="S152" s="88"/>
      <c r="T152" s="88"/>
      <c r="U152" s="88"/>
      <c r="V152" s="88">
        <v>0</v>
      </c>
      <c r="W152" s="149">
        <f t="shared" si="70"/>
        <v>238235978.69</v>
      </c>
      <c r="X152" s="150"/>
    </row>
    <row r="153" spans="1:24" ht="29.25" customHeight="1" x14ac:dyDescent="0.2">
      <c r="A153" s="160">
        <v>730</v>
      </c>
      <c r="B153" s="9" t="s">
        <v>232</v>
      </c>
      <c r="C153" s="8" t="s">
        <v>102</v>
      </c>
      <c r="D153" s="86">
        <v>4994504.74</v>
      </c>
      <c r="E153" s="88">
        <v>0</v>
      </c>
      <c r="F153" s="88">
        <v>0</v>
      </c>
      <c r="G153" s="88">
        <v>0</v>
      </c>
      <c r="H153" s="88">
        <v>0</v>
      </c>
      <c r="I153" s="147">
        <f t="shared" si="69"/>
        <v>4994504.74</v>
      </c>
      <c r="J153" s="88">
        <v>0</v>
      </c>
      <c r="K153" s="88">
        <v>0</v>
      </c>
      <c r="L153" s="188" t="e">
        <f t="shared" si="71"/>
        <v>#DIV/0!</v>
      </c>
      <c r="M153" s="88"/>
      <c r="N153" s="88"/>
      <c r="O153" s="88"/>
      <c r="P153" s="88"/>
      <c r="Q153" s="88"/>
      <c r="R153" s="88"/>
      <c r="S153" s="88"/>
      <c r="T153" s="88"/>
      <c r="U153" s="88"/>
      <c r="V153" s="88">
        <v>0</v>
      </c>
      <c r="W153" s="149">
        <f t="shared" si="70"/>
        <v>4994504.74</v>
      </c>
      <c r="X153" s="151"/>
    </row>
    <row r="154" spans="1:24" ht="29.25" customHeight="1" x14ac:dyDescent="0.2">
      <c r="A154" s="160">
        <v>731</v>
      </c>
      <c r="B154" s="9" t="s">
        <v>232</v>
      </c>
      <c r="C154" s="8" t="s">
        <v>102</v>
      </c>
      <c r="D154" s="86">
        <v>1714775</v>
      </c>
      <c r="E154" s="88">
        <v>0</v>
      </c>
      <c r="F154" s="88">
        <v>0</v>
      </c>
      <c r="G154" s="88">
        <v>0</v>
      </c>
      <c r="H154" s="88">
        <v>0</v>
      </c>
      <c r="I154" s="147">
        <f t="shared" si="69"/>
        <v>1714775</v>
      </c>
      <c r="J154" s="88">
        <v>0</v>
      </c>
      <c r="K154" s="88">
        <v>0</v>
      </c>
      <c r="L154" s="188" t="e">
        <f t="shared" si="71"/>
        <v>#DIV/0!</v>
      </c>
      <c r="M154" s="88"/>
      <c r="N154" s="88"/>
      <c r="O154" s="88"/>
      <c r="P154" s="88"/>
      <c r="Q154" s="88"/>
      <c r="R154" s="88"/>
      <c r="S154" s="88"/>
      <c r="T154" s="88"/>
      <c r="U154" s="88"/>
      <c r="V154" s="88">
        <v>0</v>
      </c>
      <c r="W154" s="149">
        <f t="shared" si="70"/>
        <v>1714775</v>
      </c>
      <c r="X154" s="151"/>
    </row>
    <row r="155" spans="1:24" ht="29.25" customHeight="1" x14ac:dyDescent="0.2">
      <c r="A155" s="160">
        <v>732</v>
      </c>
      <c r="B155" s="9" t="s">
        <v>255</v>
      </c>
      <c r="C155" s="8" t="s">
        <v>102</v>
      </c>
      <c r="D155" s="86">
        <v>7283922.2699999996</v>
      </c>
      <c r="E155" s="88">
        <v>0</v>
      </c>
      <c r="F155" s="88">
        <v>0</v>
      </c>
      <c r="G155" s="88">
        <v>0</v>
      </c>
      <c r="H155" s="88">
        <v>0</v>
      </c>
      <c r="I155" s="147">
        <f t="shared" si="69"/>
        <v>7283922.2699999996</v>
      </c>
      <c r="J155" s="88">
        <v>0</v>
      </c>
      <c r="K155" s="88">
        <v>0</v>
      </c>
      <c r="L155" s="188" t="e">
        <f t="shared" si="71"/>
        <v>#DIV/0!</v>
      </c>
      <c r="M155" s="88"/>
      <c r="N155" s="88"/>
      <c r="O155" s="88"/>
      <c r="P155" s="88"/>
      <c r="Q155" s="88"/>
      <c r="R155" s="88"/>
      <c r="S155" s="88"/>
      <c r="T155" s="88"/>
      <c r="U155" s="88"/>
      <c r="V155" s="88">
        <v>0</v>
      </c>
      <c r="W155" s="149">
        <f t="shared" si="70"/>
        <v>7283922.2699999996</v>
      </c>
      <c r="X155" s="151"/>
    </row>
    <row r="156" spans="1:24" ht="29.25" customHeight="1" x14ac:dyDescent="0.2">
      <c r="A156" s="160">
        <v>733</v>
      </c>
      <c r="B156" s="9" t="s">
        <v>256</v>
      </c>
      <c r="C156" s="8" t="s">
        <v>107</v>
      </c>
      <c r="D156" s="86">
        <v>1459852622</v>
      </c>
      <c r="E156" s="88">
        <v>0</v>
      </c>
      <c r="F156" s="88">
        <v>0</v>
      </c>
      <c r="G156" s="88">
        <v>0</v>
      </c>
      <c r="H156" s="88">
        <v>0</v>
      </c>
      <c r="I156" s="147">
        <f t="shared" si="69"/>
        <v>1459852622</v>
      </c>
      <c r="J156" s="88">
        <v>0</v>
      </c>
      <c r="K156" s="88">
        <v>0</v>
      </c>
      <c r="L156" s="188" t="e">
        <f t="shared" si="71"/>
        <v>#DIV/0!</v>
      </c>
      <c r="M156" s="88"/>
      <c r="N156" s="88"/>
      <c r="O156" s="88"/>
      <c r="P156" s="88"/>
      <c r="Q156" s="88"/>
      <c r="R156" s="88"/>
      <c r="S156" s="88"/>
      <c r="T156" s="88"/>
      <c r="U156" s="88"/>
      <c r="V156" s="88">
        <v>0</v>
      </c>
      <c r="W156" s="149">
        <f t="shared" si="70"/>
        <v>1459852622</v>
      </c>
      <c r="X156" s="151"/>
    </row>
    <row r="157" spans="1:24" ht="29.25" customHeight="1" x14ac:dyDescent="0.2">
      <c r="A157" s="160">
        <v>734</v>
      </c>
      <c r="B157" s="9" t="s">
        <v>256</v>
      </c>
      <c r="C157" s="8" t="s">
        <v>107</v>
      </c>
      <c r="D157" s="86">
        <v>74555799.909999996</v>
      </c>
      <c r="E157" s="88">
        <v>0</v>
      </c>
      <c r="F157" s="88">
        <v>0</v>
      </c>
      <c r="G157" s="88">
        <v>0</v>
      </c>
      <c r="H157" s="88">
        <v>0</v>
      </c>
      <c r="I157" s="147">
        <f t="shared" si="69"/>
        <v>74555799.909999996</v>
      </c>
      <c r="J157" s="88">
        <v>0</v>
      </c>
      <c r="K157" s="88">
        <v>0</v>
      </c>
      <c r="L157" s="188" t="e">
        <f t="shared" si="71"/>
        <v>#DIV/0!</v>
      </c>
      <c r="M157" s="88"/>
      <c r="N157" s="88"/>
      <c r="O157" s="88"/>
      <c r="P157" s="88"/>
      <c r="Q157" s="88"/>
      <c r="R157" s="88"/>
      <c r="S157" s="88"/>
      <c r="T157" s="88"/>
      <c r="U157" s="88"/>
      <c r="V157" s="88">
        <v>0</v>
      </c>
      <c r="W157" s="149">
        <f t="shared" si="70"/>
        <v>74555799.909999996</v>
      </c>
      <c r="X157" s="151"/>
    </row>
    <row r="158" spans="1:24" ht="29.25" customHeight="1" x14ac:dyDescent="0.2">
      <c r="A158" s="160">
        <v>735</v>
      </c>
      <c r="B158" s="9" t="s">
        <v>257</v>
      </c>
      <c r="C158" s="8" t="s">
        <v>107</v>
      </c>
      <c r="D158" s="86">
        <v>22599420.09</v>
      </c>
      <c r="E158" s="88">
        <v>0</v>
      </c>
      <c r="F158" s="88">
        <v>0</v>
      </c>
      <c r="G158" s="88">
        <v>0</v>
      </c>
      <c r="H158" s="88">
        <v>0</v>
      </c>
      <c r="I158" s="147">
        <f t="shared" si="69"/>
        <v>22599420.09</v>
      </c>
      <c r="J158" s="88">
        <v>0</v>
      </c>
      <c r="K158" s="88">
        <v>0</v>
      </c>
      <c r="L158" s="188" t="e">
        <f t="shared" si="71"/>
        <v>#DIV/0!</v>
      </c>
      <c r="M158" s="88"/>
      <c r="N158" s="88"/>
      <c r="O158" s="88"/>
      <c r="P158" s="88"/>
      <c r="Q158" s="88"/>
      <c r="R158" s="88"/>
      <c r="S158" s="88"/>
      <c r="T158" s="88"/>
      <c r="U158" s="88"/>
      <c r="V158" s="88">
        <v>0</v>
      </c>
      <c r="W158" s="149">
        <f t="shared" si="70"/>
        <v>22599420.09</v>
      </c>
      <c r="X158" s="151"/>
    </row>
    <row r="159" spans="1:24" ht="29.25" customHeight="1" x14ac:dyDescent="0.2">
      <c r="A159" s="160">
        <v>736</v>
      </c>
      <c r="B159" s="9" t="s">
        <v>258</v>
      </c>
      <c r="C159" s="8" t="s">
        <v>102</v>
      </c>
      <c r="D159" s="86">
        <v>120572032</v>
      </c>
      <c r="E159" s="88">
        <v>0</v>
      </c>
      <c r="F159" s="88">
        <v>0</v>
      </c>
      <c r="G159" s="88">
        <v>0</v>
      </c>
      <c r="H159" s="88">
        <v>0</v>
      </c>
      <c r="I159" s="147">
        <f t="shared" si="69"/>
        <v>120572032</v>
      </c>
      <c r="J159" s="88">
        <v>0</v>
      </c>
      <c r="K159" s="88">
        <v>0</v>
      </c>
      <c r="L159" s="188" t="e">
        <f t="shared" si="71"/>
        <v>#DIV/0!</v>
      </c>
      <c r="M159" s="88"/>
      <c r="N159" s="88"/>
      <c r="O159" s="88"/>
      <c r="P159" s="88"/>
      <c r="Q159" s="88"/>
      <c r="R159" s="88"/>
      <c r="S159" s="88"/>
      <c r="T159" s="88"/>
      <c r="U159" s="88"/>
      <c r="V159" s="88">
        <v>0</v>
      </c>
      <c r="W159" s="149">
        <f t="shared" si="70"/>
        <v>120572032</v>
      </c>
      <c r="X159" s="151"/>
    </row>
    <row r="160" spans="1:24" ht="29.25" customHeight="1" x14ac:dyDescent="0.2">
      <c r="A160" s="160">
        <v>737</v>
      </c>
      <c r="B160" s="9" t="s">
        <v>259</v>
      </c>
      <c r="C160" s="8" t="s">
        <v>102</v>
      </c>
      <c r="D160" s="86">
        <v>8738025.8499999996</v>
      </c>
      <c r="E160" s="88">
        <v>0</v>
      </c>
      <c r="F160" s="88">
        <v>0</v>
      </c>
      <c r="G160" s="88">
        <v>0</v>
      </c>
      <c r="H160" s="88">
        <v>0</v>
      </c>
      <c r="I160" s="147">
        <f t="shared" si="69"/>
        <v>8738025.8499999996</v>
      </c>
      <c r="J160" s="88">
        <v>0</v>
      </c>
      <c r="K160" s="88">
        <v>0</v>
      </c>
      <c r="L160" s="188" t="e">
        <f t="shared" si="71"/>
        <v>#DIV/0!</v>
      </c>
      <c r="M160" s="88"/>
      <c r="N160" s="88"/>
      <c r="O160" s="88"/>
      <c r="P160" s="88"/>
      <c r="Q160" s="88"/>
      <c r="R160" s="88"/>
      <c r="S160" s="88"/>
      <c r="T160" s="88"/>
      <c r="U160" s="88"/>
      <c r="V160" s="88">
        <v>0</v>
      </c>
      <c r="W160" s="149">
        <f t="shared" si="70"/>
        <v>8738025.8499999996</v>
      </c>
      <c r="X160" s="151"/>
    </row>
    <row r="161" spans="1:24" ht="29.25" customHeight="1" x14ac:dyDescent="0.2">
      <c r="A161" s="160">
        <v>738</v>
      </c>
      <c r="B161" s="9" t="s">
        <v>260</v>
      </c>
      <c r="C161" s="8" t="s">
        <v>107</v>
      </c>
      <c r="D161" s="86">
        <v>60000000</v>
      </c>
      <c r="E161" s="88">
        <v>0</v>
      </c>
      <c r="F161" s="88">
        <v>0</v>
      </c>
      <c r="G161" s="88">
        <v>0</v>
      </c>
      <c r="H161" s="88">
        <v>0</v>
      </c>
      <c r="I161" s="147">
        <f t="shared" si="69"/>
        <v>60000000</v>
      </c>
      <c r="J161" s="88">
        <v>0</v>
      </c>
      <c r="K161" s="88">
        <v>0</v>
      </c>
      <c r="L161" s="188" t="e">
        <f t="shared" si="71"/>
        <v>#DIV/0!</v>
      </c>
      <c r="M161" s="88"/>
      <c r="N161" s="88"/>
      <c r="O161" s="88"/>
      <c r="P161" s="88"/>
      <c r="Q161" s="88"/>
      <c r="R161" s="88"/>
      <c r="S161" s="88"/>
      <c r="T161" s="88"/>
      <c r="U161" s="88"/>
      <c r="V161" s="88">
        <v>0</v>
      </c>
      <c r="W161" s="149">
        <f t="shared" si="70"/>
        <v>60000000</v>
      </c>
      <c r="X161" s="151"/>
    </row>
    <row r="162" spans="1:24" ht="29.25" customHeight="1" x14ac:dyDescent="0.2">
      <c r="A162" s="160">
        <v>739</v>
      </c>
      <c r="B162" s="9" t="s">
        <v>261</v>
      </c>
      <c r="C162" s="8" t="s">
        <v>107</v>
      </c>
      <c r="D162" s="86">
        <v>676115692.29999995</v>
      </c>
      <c r="E162" s="88">
        <v>0</v>
      </c>
      <c r="F162" s="88">
        <v>0</v>
      </c>
      <c r="G162" s="88">
        <v>0</v>
      </c>
      <c r="H162" s="88">
        <v>0</v>
      </c>
      <c r="I162" s="147">
        <f t="shared" si="69"/>
        <v>676115692.29999995</v>
      </c>
      <c r="J162" s="88">
        <v>0</v>
      </c>
      <c r="K162" s="88">
        <v>0</v>
      </c>
      <c r="L162" s="188" t="e">
        <f t="shared" si="71"/>
        <v>#DIV/0!</v>
      </c>
      <c r="M162" s="88"/>
      <c r="N162" s="88"/>
      <c r="O162" s="88"/>
      <c r="P162" s="88"/>
      <c r="Q162" s="88"/>
      <c r="R162" s="88"/>
      <c r="S162" s="88"/>
      <c r="T162" s="88"/>
      <c r="U162" s="88"/>
      <c r="V162" s="88">
        <v>0</v>
      </c>
      <c r="W162" s="149">
        <f t="shared" si="70"/>
        <v>676115692.29999995</v>
      </c>
      <c r="X162" s="151"/>
    </row>
    <row r="163" spans="1:24" ht="29.25" customHeight="1" x14ac:dyDescent="0.2">
      <c r="A163" s="160">
        <v>740</v>
      </c>
      <c r="B163" s="9" t="s">
        <v>262</v>
      </c>
      <c r="C163" s="8" t="s">
        <v>107</v>
      </c>
      <c r="D163" s="86">
        <v>945491540.29999995</v>
      </c>
      <c r="E163" s="88">
        <v>0</v>
      </c>
      <c r="F163" s="88">
        <v>0</v>
      </c>
      <c r="G163" s="88">
        <v>0</v>
      </c>
      <c r="H163" s="88">
        <v>0</v>
      </c>
      <c r="I163" s="147">
        <f t="shared" si="69"/>
        <v>945491540.29999995</v>
      </c>
      <c r="J163" s="88">
        <v>0</v>
      </c>
      <c r="K163" s="88">
        <v>0</v>
      </c>
      <c r="L163" s="188" t="e">
        <f t="shared" si="71"/>
        <v>#DIV/0!</v>
      </c>
      <c r="M163" s="88"/>
      <c r="N163" s="88"/>
      <c r="O163" s="88"/>
      <c r="P163" s="88"/>
      <c r="Q163" s="88"/>
      <c r="R163" s="88"/>
      <c r="S163" s="88"/>
      <c r="T163" s="88"/>
      <c r="U163" s="88"/>
      <c r="V163" s="88">
        <v>0</v>
      </c>
      <c r="W163" s="149">
        <f t="shared" si="70"/>
        <v>945491540.29999995</v>
      </c>
      <c r="X163" s="151"/>
    </row>
    <row r="164" spans="1:24" ht="29.25" customHeight="1" x14ac:dyDescent="0.2">
      <c r="A164" s="160">
        <v>741</v>
      </c>
      <c r="B164" s="9" t="s">
        <v>263</v>
      </c>
      <c r="C164" s="8" t="s">
        <v>233</v>
      </c>
      <c r="D164" s="86">
        <v>54989270.539999999</v>
      </c>
      <c r="E164" s="88">
        <v>0</v>
      </c>
      <c r="F164" s="88">
        <v>0</v>
      </c>
      <c r="G164" s="88">
        <v>0</v>
      </c>
      <c r="H164" s="88">
        <v>0</v>
      </c>
      <c r="I164" s="147">
        <f t="shared" si="69"/>
        <v>54989270.539999999</v>
      </c>
      <c r="J164" s="88">
        <v>0</v>
      </c>
      <c r="K164" s="88">
        <v>0</v>
      </c>
      <c r="L164" s="188" t="e">
        <f t="shared" si="71"/>
        <v>#DIV/0!</v>
      </c>
      <c r="M164" s="88"/>
      <c r="N164" s="88"/>
      <c r="O164" s="88"/>
      <c r="P164" s="88"/>
      <c r="Q164" s="88"/>
      <c r="R164" s="88"/>
      <c r="S164" s="88"/>
      <c r="T164" s="88"/>
      <c r="U164" s="88"/>
      <c r="V164" s="88">
        <v>0</v>
      </c>
      <c r="W164" s="149">
        <f t="shared" si="70"/>
        <v>54989270.539999999</v>
      </c>
      <c r="X164" s="151"/>
    </row>
    <row r="165" spans="1:24" ht="29.25" customHeight="1" x14ac:dyDescent="0.2">
      <c r="A165" s="161">
        <v>742</v>
      </c>
      <c r="B165" s="9" t="s">
        <v>264</v>
      </c>
      <c r="C165" s="8" t="s">
        <v>233</v>
      </c>
      <c r="D165" s="86">
        <v>82783036.859999999</v>
      </c>
      <c r="E165" s="88">
        <v>0</v>
      </c>
      <c r="F165" s="88">
        <v>0</v>
      </c>
      <c r="G165" s="88">
        <v>0</v>
      </c>
      <c r="H165" s="88">
        <v>0</v>
      </c>
      <c r="I165" s="147">
        <f t="shared" si="69"/>
        <v>82783036.859999999</v>
      </c>
      <c r="J165" s="88">
        <v>0</v>
      </c>
      <c r="K165" s="88">
        <v>0</v>
      </c>
      <c r="L165" s="188" t="e">
        <f t="shared" si="71"/>
        <v>#DIV/0!</v>
      </c>
      <c r="M165" s="88"/>
      <c r="N165" s="88"/>
      <c r="O165" s="88"/>
      <c r="P165" s="88"/>
      <c r="Q165" s="88"/>
      <c r="R165" s="88"/>
      <c r="S165" s="88"/>
      <c r="T165" s="88"/>
      <c r="U165" s="88"/>
      <c r="V165" s="88">
        <v>0</v>
      </c>
      <c r="W165" s="149">
        <f t="shared" si="70"/>
        <v>82783036.859999999</v>
      </c>
      <c r="X165" s="151"/>
    </row>
    <row r="166" spans="1:24" ht="29.25" customHeight="1" x14ac:dyDescent="0.2">
      <c r="A166" s="162">
        <v>764</v>
      </c>
      <c r="B166" s="9" t="s">
        <v>265</v>
      </c>
      <c r="C166" s="8" t="s">
        <v>102</v>
      </c>
      <c r="D166" s="86">
        <v>16636487.73</v>
      </c>
      <c r="E166" s="88">
        <v>0</v>
      </c>
      <c r="F166" s="88">
        <v>0</v>
      </c>
      <c r="G166" s="88">
        <v>0</v>
      </c>
      <c r="H166" s="88">
        <v>0</v>
      </c>
      <c r="I166" s="147">
        <f t="shared" si="69"/>
        <v>16636487.73</v>
      </c>
      <c r="J166" s="88">
        <v>0</v>
      </c>
      <c r="K166" s="88">
        <v>0</v>
      </c>
      <c r="L166" s="188" t="e">
        <f t="shared" si="71"/>
        <v>#DIV/0!</v>
      </c>
      <c r="M166" s="88"/>
      <c r="N166" s="88"/>
      <c r="O166" s="88"/>
      <c r="P166" s="88"/>
      <c r="Q166" s="88"/>
      <c r="R166" s="88"/>
      <c r="S166" s="88"/>
      <c r="T166" s="88"/>
      <c r="U166" s="88"/>
      <c r="V166" s="88">
        <v>0</v>
      </c>
      <c r="W166" s="149">
        <f t="shared" si="70"/>
        <v>16636487.73</v>
      </c>
      <c r="X166" s="151"/>
    </row>
    <row r="167" spans="1:24" ht="29.25" customHeight="1" x14ac:dyDescent="0.2">
      <c r="A167" s="162">
        <v>768</v>
      </c>
      <c r="B167" s="9" t="s">
        <v>266</v>
      </c>
      <c r="C167" s="8" t="s">
        <v>107</v>
      </c>
      <c r="D167" s="86">
        <v>8834182.4900000002</v>
      </c>
      <c r="E167" s="88">
        <v>0</v>
      </c>
      <c r="F167" s="88">
        <v>0</v>
      </c>
      <c r="G167" s="88">
        <v>0</v>
      </c>
      <c r="H167" s="88">
        <v>0</v>
      </c>
      <c r="I167" s="147">
        <f t="shared" si="69"/>
        <v>8834182.4900000002</v>
      </c>
      <c r="J167" s="88"/>
      <c r="K167" s="88"/>
      <c r="L167" s="188" t="e">
        <f t="shared" si="71"/>
        <v>#DIV/0!</v>
      </c>
      <c r="M167" s="88"/>
      <c r="N167" s="88"/>
      <c r="O167" s="88"/>
      <c r="P167" s="88"/>
      <c r="Q167" s="88"/>
      <c r="R167" s="88"/>
      <c r="S167" s="88"/>
      <c r="T167" s="88"/>
      <c r="U167" s="88"/>
      <c r="V167" s="88"/>
      <c r="W167" s="149">
        <f t="shared" si="70"/>
        <v>8834182.4900000002</v>
      </c>
      <c r="X167" s="151"/>
    </row>
    <row r="168" spans="1:24" ht="29.25" customHeight="1" x14ac:dyDescent="0.2">
      <c r="A168" s="162">
        <v>769</v>
      </c>
      <c r="B168" s="9" t="s">
        <v>267</v>
      </c>
      <c r="C168" s="8" t="s">
        <v>107</v>
      </c>
      <c r="D168" s="86">
        <v>2065809.37</v>
      </c>
      <c r="E168" s="88">
        <v>0</v>
      </c>
      <c r="F168" s="88">
        <v>0</v>
      </c>
      <c r="G168" s="88">
        <v>0</v>
      </c>
      <c r="H168" s="88">
        <v>0</v>
      </c>
      <c r="I168" s="147">
        <f t="shared" si="69"/>
        <v>2065809.37</v>
      </c>
      <c r="J168" s="88">
        <v>0</v>
      </c>
      <c r="K168" s="88">
        <v>0</v>
      </c>
      <c r="L168" s="188" t="e">
        <f t="shared" si="71"/>
        <v>#DIV/0!</v>
      </c>
      <c r="M168" s="88"/>
      <c r="N168" s="88"/>
      <c r="O168" s="88"/>
      <c r="P168" s="88"/>
      <c r="Q168" s="88"/>
      <c r="R168" s="88"/>
      <c r="S168" s="88"/>
      <c r="T168" s="88"/>
      <c r="U168" s="88"/>
      <c r="V168" s="88">
        <v>0</v>
      </c>
      <c r="W168" s="149">
        <f t="shared" si="70"/>
        <v>2065809.37</v>
      </c>
      <c r="X168" s="151"/>
    </row>
    <row r="169" spans="1:24" ht="29.25" customHeight="1" x14ac:dyDescent="0.2">
      <c r="A169" s="162">
        <v>770</v>
      </c>
      <c r="B169" s="9" t="s">
        <v>268</v>
      </c>
      <c r="C169" s="8" t="s">
        <v>107</v>
      </c>
      <c r="D169" s="86">
        <v>126240281.59999999</v>
      </c>
      <c r="E169" s="88">
        <v>0</v>
      </c>
      <c r="F169" s="88">
        <v>0</v>
      </c>
      <c r="G169" s="88">
        <v>0</v>
      </c>
      <c r="H169" s="88">
        <v>0</v>
      </c>
      <c r="I169" s="147">
        <f t="shared" si="69"/>
        <v>126240281.59999999</v>
      </c>
      <c r="J169" s="88">
        <v>0</v>
      </c>
      <c r="K169" s="88">
        <v>0</v>
      </c>
      <c r="L169" s="188" t="e">
        <f t="shared" si="71"/>
        <v>#DIV/0!</v>
      </c>
      <c r="M169" s="88"/>
      <c r="N169" s="88"/>
      <c r="O169" s="88"/>
      <c r="P169" s="88"/>
      <c r="Q169" s="88"/>
      <c r="R169" s="88"/>
      <c r="S169" s="88"/>
      <c r="T169" s="88"/>
      <c r="U169" s="88"/>
      <c r="V169" s="88">
        <v>0</v>
      </c>
      <c r="W169" s="149">
        <f t="shared" si="70"/>
        <v>126240281.59999999</v>
      </c>
      <c r="X169" s="151"/>
    </row>
    <row r="170" spans="1:24" ht="29.25" customHeight="1" x14ac:dyDescent="0.2">
      <c r="A170" s="162">
        <v>771</v>
      </c>
      <c r="B170" s="9" t="s">
        <v>269</v>
      </c>
      <c r="C170" s="8" t="s">
        <v>102</v>
      </c>
      <c r="D170" s="86">
        <v>18673374.789999999</v>
      </c>
      <c r="E170" s="88">
        <v>0</v>
      </c>
      <c r="F170" s="88">
        <v>0</v>
      </c>
      <c r="G170" s="88">
        <v>0</v>
      </c>
      <c r="H170" s="88">
        <v>0</v>
      </c>
      <c r="I170" s="147">
        <f t="shared" si="69"/>
        <v>18673374.789999999</v>
      </c>
      <c r="J170" s="88">
        <v>0</v>
      </c>
      <c r="K170" s="88">
        <v>0</v>
      </c>
      <c r="L170" s="188" t="e">
        <f t="shared" si="71"/>
        <v>#DIV/0!</v>
      </c>
      <c r="M170" s="88"/>
      <c r="N170" s="88"/>
      <c r="O170" s="88"/>
      <c r="P170" s="88"/>
      <c r="Q170" s="88"/>
      <c r="R170" s="88"/>
      <c r="S170" s="88"/>
      <c r="T170" s="88"/>
      <c r="U170" s="88"/>
      <c r="V170" s="88">
        <v>0</v>
      </c>
      <c r="W170" s="149">
        <f t="shared" si="70"/>
        <v>18673374.789999999</v>
      </c>
      <c r="X170" s="151"/>
    </row>
    <row r="171" spans="1:24" ht="29.25" customHeight="1" x14ac:dyDescent="0.2">
      <c r="A171" s="162">
        <v>772</v>
      </c>
      <c r="B171" s="9" t="s">
        <v>270</v>
      </c>
      <c r="C171" s="8" t="s">
        <v>107</v>
      </c>
      <c r="D171" s="86">
        <v>94290843.200000003</v>
      </c>
      <c r="E171" s="88">
        <v>0</v>
      </c>
      <c r="F171" s="88">
        <v>0</v>
      </c>
      <c r="G171" s="88">
        <v>0</v>
      </c>
      <c r="H171" s="88">
        <v>0</v>
      </c>
      <c r="I171" s="147">
        <f t="shared" si="69"/>
        <v>94290843.200000003</v>
      </c>
      <c r="J171" s="88">
        <v>0</v>
      </c>
      <c r="K171" s="88">
        <v>0</v>
      </c>
      <c r="L171" s="188" t="e">
        <f t="shared" si="71"/>
        <v>#DIV/0!</v>
      </c>
      <c r="M171" s="88"/>
      <c r="N171" s="88"/>
      <c r="O171" s="88"/>
      <c r="P171" s="88"/>
      <c r="Q171" s="88"/>
      <c r="R171" s="88"/>
      <c r="S171" s="88"/>
      <c r="T171" s="88"/>
      <c r="U171" s="88"/>
      <c r="V171" s="88">
        <v>0</v>
      </c>
      <c r="W171" s="149">
        <f t="shared" si="70"/>
        <v>94290843.200000003</v>
      </c>
      <c r="X171" s="151"/>
    </row>
    <row r="172" spans="1:24" ht="29.25" customHeight="1" x14ac:dyDescent="0.2">
      <c r="A172" s="162">
        <v>773</v>
      </c>
      <c r="B172" s="9" t="s">
        <v>271</v>
      </c>
      <c r="C172" s="8" t="s">
        <v>102</v>
      </c>
      <c r="D172" s="86">
        <v>31535586.100000001</v>
      </c>
      <c r="E172" s="88">
        <v>0</v>
      </c>
      <c r="F172" s="88">
        <v>0</v>
      </c>
      <c r="G172" s="88">
        <v>0</v>
      </c>
      <c r="H172" s="88">
        <v>0</v>
      </c>
      <c r="I172" s="147">
        <f t="shared" si="69"/>
        <v>31535586.100000001</v>
      </c>
      <c r="J172" s="88">
        <v>0</v>
      </c>
      <c r="K172" s="88">
        <v>0</v>
      </c>
      <c r="L172" s="188" t="e">
        <f t="shared" si="71"/>
        <v>#DIV/0!</v>
      </c>
      <c r="M172" s="88"/>
      <c r="N172" s="88"/>
      <c r="O172" s="88"/>
      <c r="P172" s="88"/>
      <c r="Q172" s="88"/>
      <c r="R172" s="88"/>
      <c r="S172" s="88"/>
      <c r="T172" s="88"/>
      <c r="U172" s="88"/>
      <c r="V172" s="88">
        <v>0</v>
      </c>
      <c r="W172" s="149">
        <f t="shared" si="70"/>
        <v>31535586.100000001</v>
      </c>
      <c r="X172" s="151"/>
    </row>
    <row r="173" spans="1:24" ht="29.25" customHeight="1" x14ac:dyDescent="0.2">
      <c r="A173" s="162">
        <v>774</v>
      </c>
      <c r="B173" s="9" t="s">
        <v>272</v>
      </c>
      <c r="C173" s="8" t="s">
        <v>102</v>
      </c>
      <c r="D173" s="86">
        <v>31874676.870000001</v>
      </c>
      <c r="E173" s="88">
        <v>0</v>
      </c>
      <c r="F173" s="88">
        <v>0</v>
      </c>
      <c r="G173" s="88">
        <v>0</v>
      </c>
      <c r="H173" s="88">
        <v>0</v>
      </c>
      <c r="I173" s="147">
        <f t="shared" si="69"/>
        <v>31874676.870000001</v>
      </c>
      <c r="J173" s="88">
        <v>0</v>
      </c>
      <c r="K173" s="88">
        <v>0</v>
      </c>
      <c r="L173" s="188" t="e">
        <f t="shared" si="71"/>
        <v>#DIV/0!</v>
      </c>
      <c r="M173" s="88"/>
      <c r="N173" s="88"/>
      <c r="O173" s="88"/>
      <c r="P173" s="88"/>
      <c r="Q173" s="88"/>
      <c r="R173" s="88"/>
      <c r="S173" s="88"/>
      <c r="T173" s="88"/>
      <c r="U173" s="88"/>
      <c r="V173" s="88">
        <v>0</v>
      </c>
      <c r="W173" s="149">
        <f t="shared" si="70"/>
        <v>31874676.870000001</v>
      </c>
      <c r="X173" s="151"/>
    </row>
    <row r="174" spans="1:24" ht="29.25" customHeight="1" x14ac:dyDescent="0.2">
      <c r="A174" s="162">
        <v>783</v>
      </c>
      <c r="B174" s="9" t="s">
        <v>273</v>
      </c>
      <c r="C174" s="8" t="s">
        <v>107</v>
      </c>
      <c r="D174" s="86">
        <v>75021845.370000005</v>
      </c>
      <c r="E174" s="88">
        <v>0</v>
      </c>
      <c r="F174" s="88">
        <v>0</v>
      </c>
      <c r="G174" s="88">
        <v>0</v>
      </c>
      <c r="H174" s="88">
        <v>0</v>
      </c>
      <c r="I174" s="147">
        <f t="shared" si="69"/>
        <v>75021845.370000005</v>
      </c>
      <c r="J174" s="88">
        <v>0</v>
      </c>
      <c r="K174" s="88">
        <v>0</v>
      </c>
      <c r="L174" s="188" t="e">
        <f t="shared" si="71"/>
        <v>#DIV/0!</v>
      </c>
      <c r="M174" s="88"/>
      <c r="N174" s="88"/>
      <c r="O174" s="88"/>
      <c r="P174" s="88"/>
      <c r="Q174" s="88"/>
      <c r="R174" s="88"/>
      <c r="S174" s="88"/>
      <c r="T174" s="88"/>
      <c r="U174" s="88"/>
      <c r="V174" s="88">
        <v>0</v>
      </c>
      <c r="W174" s="149">
        <f t="shared" si="70"/>
        <v>75021845.370000005</v>
      </c>
      <c r="X174" s="151"/>
    </row>
    <row r="175" spans="1:24" ht="29.25" customHeight="1" x14ac:dyDescent="0.2">
      <c r="A175" s="162">
        <v>796</v>
      </c>
      <c r="B175" s="9" t="s">
        <v>274</v>
      </c>
      <c r="C175" s="8" t="s">
        <v>107</v>
      </c>
      <c r="D175" s="86">
        <v>220458.25</v>
      </c>
      <c r="E175" s="88">
        <v>0</v>
      </c>
      <c r="F175" s="88">
        <v>0</v>
      </c>
      <c r="G175" s="88">
        <v>0</v>
      </c>
      <c r="H175" s="88">
        <v>0</v>
      </c>
      <c r="I175" s="147">
        <f t="shared" si="69"/>
        <v>220458.25</v>
      </c>
      <c r="J175" s="88">
        <v>0</v>
      </c>
      <c r="K175" s="88">
        <v>0</v>
      </c>
      <c r="L175" s="188" t="e">
        <f t="shared" si="71"/>
        <v>#DIV/0!</v>
      </c>
      <c r="M175" s="88"/>
      <c r="N175" s="88"/>
      <c r="O175" s="88"/>
      <c r="P175" s="88"/>
      <c r="Q175" s="88"/>
      <c r="R175" s="88"/>
      <c r="S175" s="88"/>
      <c r="T175" s="88"/>
      <c r="U175" s="88"/>
      <c r="V175" s="88">
        <v>0</v>
      </c>
      <c r="W175" s="149">
        <f t="shared" si="70"/>
        <v>220458.25</v>
      </c>
      <c r="X175" s="151"/>
    </row>
    <row r="176" spans="1:24" ht="29.25" customHeight="1" x14ac:dyDescent="0.2">
      <c r="A176" s="162">
        <v>798</v>
      </c>
      <c r="B176" s="9" t="s">
        <v>275</v>
      </c>
      <c r="C176" s="8" t="s">
        <v>107</v>
      </c>
      <c r="D176" s="86">
        <v>24312859.5</v>
      </c>
      <c r="E176" s="88">
        <v>0</v>
      </c>
      <c r="F176" s="88">
        <v>0</v>
      </c>
      <c r="G176" s="88">
        <v>0</v>
      </c>
      <c r="H176" s="88">
        <v>0</v>
      </c>
      <c r="I176" s="147">
        <f t="shared" si="69"/>
        <v>24312859.5</v>
      </c>
      <c r="J176" s="88">
        <v>0</v>
      </c>
      <c r="K176" s="88">
        <v>0</v>
      </c>
      <c r="L176" s="188" t="e">
        <f t="shared" si="71"/>
        <v>#DIV/0!</v>
      </c>
      <c r="M176" s="88"/>
      <c r="N176" s="88"/>
      <c r="O176" s="88"/>
      <c r="P176" s="88"/>
      <c r="Q176" s="88"/>
      <c r="R176" s="88"/>
      <c r="S176" s="88"/>
      <c r="T176" s="88"/>
      <c r="U176" s="88"/>
      <c r="V176" s="88">
        <v>0</v>
      </c>
      <c r="W176" s="149">
        <f t="shared" si="70"/>
        <v>24312859.5</v>
      </c>
      <c r="X176" s="151"/>
    </row>
    <row r="177" spans="1:24" ht="29.25" customHeight="1" x14ac:dyDescent="0.2">
      <c r="A177" s="160">
        <v>807</v>
      </c>
      <c r="B177" s="9" t="s">
        <v>276</v>
      </c>
      <c r="C177" s="8" t="s">
        <v>107</v>
      </c>
      <c r="D177" s="86">
        <v>2658412.25</v>
      </c>
      <c r="E177" s="88">
        <v>0</v>
      </c>
      <c r="F177" s="88">
        <v>0</v>
      </c>
      <c r="G177" s="88">
        <v>0</v>
      </c>
      <c r="H177" s="88">
        <v>0</v>
      </c>
      <c r="I177" s="147">
        <f t="shared" si="69"/>
        <v>2658412.25</v>
      </c>
      <c r="J177" s="88">
        <v>0</v>
      </c>
      <c r="K177" s="88">
        <v>0</v>
      </c>
      <c r="L177" s="188" t="e">
        <f t="shared" si="71"/>
        <v>#DIV/0!</v>
      </c>
      <c r="M177" s="88"/>
      <c r="N177" s="88"/>
      <c r="O177" s="88"/>
      <c r="P177" s="88"/>
      <c r="Q177" s="88"/>
      <c r="R177" s="88"/>
      <c r="S177" s="88"/>
      <c r="T177" s="88"/>
      <c r="U177" s="88"/>
      <c r="V177" s="88">
        <v>0</v>
      </c>
      <c r="W177" s="149">
        <f t="shared" si="70"/>
        <v>2658412.25</v>
      </c>
      <c r="X177" s="151"/>
    </row>
    <row r="178" spans="1:24" ht="29.25" customHeight="1" x14ac:dyDescent="0.2">
      <c r="A178" s="160">
        <v>825</v>
      </c>
      <c r="B178" s="9" t="s">
        <v>145</v>
      </c>
      <c r="C178" s="8" t="s">
        <v>102</v>
      </c>
      <c r="D178" s="86">
        <v>23790000</v>
      </c>
      <c r="E178" s="88">
        <v>0</v>
      </c>
      <c r="F178" s="88">
        <v>0</v>
      </c>
      <c r="G178" s="88">
        <v>0</v>
      </c>
      <c r="H178" s="88">
        <v>0</v>
      </c>
      <c r="I178" s="147">
        <f t="shared" si="69"/>
        <v>23790000</v>
      </c>
      <c r="J178" s="147"/>
      <c r="K178" s="147"/>
      <c r="L178" s="188" t="e">
        <f t="shared" si="71"/>
        <v>#DIV/0!</v>
      </c>
      <c r="M178" s="147"/>
      <c r="N178" s="147"/>
      <c r="O178" s="147"/>
      <c r="P178" s="147"/>
      <c r="Q178" s="147"/>
      <c r="R178" s="147"/>
      <c r="S178" s="147"/>
      <c r="T178" s="147"/>
      <c r="U178" s="147"/>
      <c r="V178" s="147"/>
      <c r="W178" s="149">
        <f t="shared" si="70"/>
        <v>23790000</v>
      </c>
      <c r="X178" s="151"/>
    </row>
    <row r="179" spans="1:24" ht="29.25" customHeight="1" x14ac:dyDescent="0.2">
      <c r="A179" s="160">
        <v>922</v>
      </c>
      <c r="B179" s="9" t="s">
        <v>140</v>
      </c>
      <c r="C179" s="8" t="s">
        <v>233</v>
      </c>
      <c r="D179" s="86">
        <v>4849661</v>
      </c>
      <c r="E179" s="88">
        <v>0</v>
      </c>
      <c r="F179" s="88">
        <v>0</v>
      </c>
      <c r="G179" s="88">
        <v>0</v>
      </c>
      <c r="H179" s="88">
        <v>0</v>
      </c>
      <c r="I179" s="147">
        <f t="shared" si="69"/>
        <v>4849661</v>
      </c>
      <c r="J179" s="147"/>
      <c r="K179" s="147"/>
      <c r="L179" s="188" t="e">
        <f t="shared" si="71"/>
        <v>#DIV/0!</v>
      </c>
      <c r="M179" s="147"/>
      <c r="N179" s="147"/>
      <c r="O179" s="147"/>
      <c r="P179" s="147"/>
      <c r="Q179" s="147"/>
      <c r="R179" s="147"/>
      <c r="S179" s="147"/>
      <c r="T179" s="147"/>
      <c r="U179" s="147"/>
      <c r="V179" s="147"/>
      <c r="W179" s="149">
        <f t="shared" si="70"/>
        <v>4849661</v>
      </c>
      <c r="X179" s="151"/>
    </row>
    <row r="180" spans="1:24" ht="29.25" customHeight="1" x14ac:dyDescent="0.2">
      <c r="A180" s="160">
        <v>1046</v>
      </c>
      <c r="B180" s="9" t="s">
        <v>147</v>
      </c>
      <c r="C180" s="8" t="s">
        <v>249</v>
      </c>
      <c r="D180" s="86">
        <v>41088455.5</v>
      </c>
      <c r="E180" s="88">
        <v>0</v>
      </c>
      <c r="F180" s="88">
        <v>0</v>
      </c>
      <c r="G180" s="88">
        <v>0</v>
      </c>
      <c r="H180" s="88">
        <v>0</v>
      </c>
      <c r="I180" s="147">
        <f t="shared" si="69"/>
        <v>41088455.5</v>
      </c>
      <c r="J180" s="88">
        <v>0</v>
      </c>
      <c r="K180" s="88">
        <v>0</v>
      </c>
      <c r="L180" s="188" t="e">
        <f t="shared" si="71"/>
        <v>#DIV/0!</v>
      </c>
      <c r="M180" s="88"/>
      <c r="N180" s="88"/>
      <c r="O180" s="88"/>
      <c r="P180" s="88"/>
      <c r="Q180" s="88"/>
      <c r="R180" s="88"/>
      <c r="S180" s="88"/>
      <c r="T180" s="88"/>
      <c r="U180" s="88"/>
      <c r="V180" s="88">
        <v>0</v>
      </c>
      <c r="W180" s="149">
        <f t="shared" si="70"/>
        <v>41088455.5</v>
      </c>
      <c r="X180" s="151"/>
    </row>
    <row r="181" spans="1:24" ht="29.25" customHeight="1" x14ac:dyDescent="0.2">
      <c r="A181" s="160">
        <v>1047</v>
      </c>
      <c r="B181" s="9" t="s">
        <v>147</v>
      </c>
      <c r="C181" s="8" t="s">
        <v>249</v>
      </c>
      <c r="D181" s="86">
        <v>2994699.9</v>
      </c>
      <c r="E181" s="88">
        <v>0</v>
      </c>
      <c r="F181" s="88">
        <v>0</v>
      </c>
      <c r="G181" s="88">
        <v>0</v>
      </c>
      <c r="H181" s="88">
        <v>0</v>
      </c>
      <c r="I181" s="147">
        <f t="shared" si="69"/>
        <v>2994699.9</v>
      </c>
      <c r="J181" s="88">
        <v>0</v>
      </c>
      <c r="K181" s="88">
        <v>0</v>
      </c>
      <c r="L181" s="188" t="e">
        <f t="shared" si="71"/>
        <v>#DIV/0!</v>
      </c>
      <c r="M181" s="88"/>
      <c r="N181" s="88"/>
      <c r="O181" s="88"/>
      <c r="P181" s="88"/>
      <c r="Q181" s="88"/>
      <c r="R181" s="88"/>
      <c r="S181" s="88"/>
      <c r="T181" s="88"/>
      <c r="U181" s="88"/>
      <c r="V181" s="88">
        <v>0</v>
      </c>
      <c r="W181" s="149">
        <f t="shared" si="70"/>
        <v>2994699.9</v>
      </c>
      <c r="X181" s="151"/>
    </row>
    <row r="182" spans="1:24" ht="29.25" customHeight="1" x14ac:dyDescent="0.2">
      <c r="A182" s="160">
        <v>1048</v>
      </c>
      <c r="B182" s="9" t="s">
        <v>147</v>
      </c>
      <c r="C182" s="8" t="s">
        <v>249</v>
      </c>
      <c r="D182" s="86">
        <v>3956571.3</v>
      </c>
      <c r="E182" s="88">
        <v>0</v>
      </c>
      <c r="F182" s="88">
        <v>0</v>
      </c>
      <c r="G182" s="88">
        <v>0</v>
      </c>
      <c r="H182" s="88">
        <v>0</v>
      </c>
      <c r="I182" s="147">
        <f t="shared" si="69"/>
        <v>3956571.3</v>
      </c>
      <c r="J182" s="88">
        <v>0</v>
      </c>
      <c r="K182" s="88">
        <v>0</v>
      </c>
      <c r="L182" s="188" t="e">
        <f t="shared" si="71"/>
        <v>#DIV/0!</v>
      </c>
      <c r="M182" s="88"/>
      <c r="N182" s="88"/>
      <c r="O182" s="88"/>
      <c r="P182" s="88"/>
      <c r="Q182" s="88"/>
      <c r="R182" s="88"/>
      <c r="S182" s="88"/>
      <c r="T182" s="88"/>
      <c r="U182" s="88"/>
      <c r="V182" s="88">
        <v>0</v>
      </c>
      <c r="W182" s="149">
        <f t="shared" si="70"/>
        <v>3956571.3</v>
      </c>
      <c r="X182" s="151"/>
    </row>
    <row r="183" spans="1:24" x14ac:dyDescent="0.2">
      <c r="A183" s="160">
        <v>1049</v>
      </c>
      <c r="B183" s="9" t="s">
        <v>147</v>
      </c>
      <c r="C183" s="8" t="s">
        <v>249</v>
      </c>
      <c r="D183" s="86">
        <v>2970732.2</v>
      </c>
      <c r="E183" s="88">
        <v>0</v>
      </c>
      <c r="F183" s="88">
        <v>0</v>
      </c>
      <c r="G183" s="88">
        <v>0</v>
      </c>
      <c r="H183" s="88">
        <v>0</v>
      </c>
      <c r="I183" s="147">
        <f t="shared" si="69"/>
        <v>2970732.2</v>
      </c>
      <c r="J183" s="88">
        <v>0</v>
      </c>
      <c r="K183" s="88">
        <v>0</v>
      </c>
      <c r="L183" s="188" t="e">
        <f t="shared" si="71"/>
        <v>#DIV/0!</v>
      </c>
      <c r="M183" s="88"/>
      <c r="N183" s="88"/>
      <c r="O183" s="88"/>
      <c r="P183" s="88"/>
      <c r="Q183" s="88"/>
      <c r="R183" s="88"/>
      <c r="S183" s="88"/>
      <c r="T183" s="88"/>
      <c r="U183" s="88"/>
      <c r="V183" s="88">
        <v>0</v>
      </c>
      <c r="W183" s="149">
        <f t="shared" si="70"/>
        <v>2970732.2</v>
      </c>
    </row>
    <row r="184" spans="1:24" x14ac:dyDescent="0.2">
      <c r="A184" s="160">
        <v>1050</v>
      </c>
      <c r="B184" s="9" t="s">
        <v>147</v>
      </c>
      <c r="C184" s="8" t="s">
        <v>249</v>
      </c>
      <c r="D184" s="86">
        <v>3965988.3</v>
      </c>
      <c r="E184" s="88">
        <v>0</v>
      </c>
      <c r="F184" s="88">
        <v>0</v>
      </c>
      <c r="G184" s="88">
        <v>0</v>
      </c>
      <c r="H184" s="88">
        <v>0</v>
      </c>
      <c r="I184" s="147">
        <f t="shared" si="69"/>
        <v>3965988.3</v>
      </c>
      <c r="J184" s="88">
        <v>0</v>
      </c>
      <c r="K184" s="88">
        <v>0</v>
      </c>
      <c r="L184" s="188" t="e">
        <f t="shared" si="71"/>
        <v>#DIV/0!</v>
      </c>
      <c r="M184" s="88"/>
      <c r="N184" s="88"/>
      <c r="O184" s="88"/>
      <c r="P184" s="88"/>
      <c r="Q184" s="88"/>
      <c r="R184" s="88"/>
      <c r="S184" s="88"/>
      <c r="T184" s="88"/>
      <c r="U184" s="88"/>
      <c r="V184" s="88">
        <v>0</v>
      </c>
      <c r="W184" s="149">
        <f t="shared" si="70"/>
        <v>3965988.3</v>
      </c>
    </row>
    <row r="185" spans="1:24" x14ac:dyDescent="0.2">
      <c r="A185" s="160">
        <v>1052</v>
      </c>
      <c r="B185" s="9" t="s">
        <v>147</v>
      </c>
      <c r="C185" s="8" t="s">
        <v>249</v>
      </c>
      <c r="D185" s="86">
        <v>2989052.1</v>
      </c>
      <c r="E185" s="88">
        <v>0</v>
      </c>
      <c r="F185" s="88">
        <v>0</v>
      </c>
      <c r="G185" s="88">
        <v>0</v>
      </c>
      <c r="H185" s="88">
        <v>0</v>
      </c>
      <c r="I185" s="147">
        <f t="shared" si="69"/>
        <v>2989052.1</v>
      </c>
      <c r="J185" s="88">
        <v>0</v>
      </c>
      <c r="K185" s="88">
        <v>0</v>
      </c>
      <c r="L185" s="188" t="e">
        <f t="shared" si="71"/>
        <v>#DIV/0!</v>
      </c>
      <c r="M185" s="88"/>
      <c r="N185" s="88"/>
      <c r="O185" s="88"/>
      <c r="P185" s="88"/>
      <c r="Q185" s="88"/>
      <c r="R185" s="88"/>
      <c r="S185" s="88"/>
      <c r="T185" s="88"/>
      <c r="U185" s="88"/>
      <c r="V185" s="88">
        <v>0</v>
      </c>
      <c r="W185" s="149">
        <f t="shared" si="70"/>
        <v>2989052.1</v>
      </c>
    </row>
    <row r="186" spans="1:24" x14ac:dyDescent="0.2">
      <c r="A186" s="160">
        <v>1054</v>
      </c>
      <c r="B186" s="9" t="s">
        <v>147</v>
      </c>
      <c r="C186" s="8" t="s">
        <v>249</v>
      </c>
      <c r="D186" s="86">
        <v>2993074.2</v>
      </c>
      <c r="E186" s="88">
        <v>0</v>
      </c>
      <c r="F186" s="88">
        <v>0</v>
      </c>
      <c r="G186" s="88">
        <v>0</v>
      </c>
      <c r="H186" s="88">
        <v>0</v>
      </c>
      <c r="I186" s="147">
        <f t="shared" si="69"/>
        <v>2993074.2</v>
      </c>
      <c r="J186" s="88">
        <v>0</v>
      </c>
      <c r="K186" s="88">
        <v>0</v>
      </c>
      <c r="L186" s="188" t="e">
        <f t="shared" si="71"/>
        <v>#DIV/0!</v>
      </c>
      <c r="M186" s="88"/>
      <c r="N186" s="88"/>
      <c r="O186" s="88"/>
      <c r="P186" s="88"/>
      <c r="Q186" s="88"/>
      <c r="R186" s="88"/>
      <c r="S186" s="88"/>
      <c r="T186" s="88"/>
      <c r="U186" s="88"/>
      <c r="V186" s="88">
        <v>0</v>
      </c>
      <c r="W186" s="149">
        <f t="shared" si="70"/>
        <v>2993074.2</v>
      </c>
    </row>
    <row r="187" spans="1:24" x14ac:dyDescent="0.2">
      <c r="A187" s="160">
        <v>1055</v>
      </c>
      <c r="B187" s="9" t="s">
        <v>147</v>
      </c>
      <c r="C187" s="8" t="s">
        <v>249</v>
      </c>
      <c r="D187" s="86">
        <v>2996698.9</v>
      </c>
      <c r="E187" s="88">
        <v>0</v>
      </c>
      <c r="F187" s="88">
        <v>0</v>
      </c>
      <c r="G187" s="88">
        <v>0</v>
      </c>
      <c r="H187" s="88">
        <v>0</v>
      </c>
      <c r="I187" s="147">
        <f t="shared" si="69"/>
        <v>2996698.9</v>
      </c>
      <c r="J187" s="88">
        <v>0</v>
      </c>
      <c r="K187" s="88">
        <v>0</v>
      </c>
      <c r="L187" s="188" t="e">
        <f t="shared" si="71"/>
        <v>#DIV/0!</v>
      </c>
      <c r="M187" s="88"/>
      <c r="N187" s="88"/>
      <c r="O187" s="88"/>
      <c r="P187" s="88"/>
      <c r="Q187" s="88"/>
      <c r="R187" s="88"/>
      <c r="S187" s="88"/>
      <c r="T187" s="88"/>
      <c r="U187" s="88"/>
      <c r="V187" s="88">
        <v>0</v>
      </c>
      <c r="W187" s="149">
        <f t="shared" si="70"/>
        <v>2996698.9</v>
      </c>
    </row>
    <row r="188" spans="1:24" x14ac:dyDescent="0.2">
      <c r="A188" s="160">
        <v>1113</v>
      </c>
      <c r="B188" s="9" t="s">
        <v>147</v>
      </c>
      <c r="C188" s="8" t="s">
        <v>249</v>
      </c>
      <c r="D188" s="86">
        <v>2988486.4</v>
      </c>
      <c r="E188" s="88">
        <v>0</v>
      </c>
      <c r="F188" s="88">
        <v>0</v>
      </c>
      <c r="G188" s="88">
        <v>0</v>
      </c>
      <c r="H188" s="88">
        <v>0</v>
      </c>
      <c r="I188" s="147">
        <f t="shared" ref="I188:I224" si="72">D188+E188-F188+G188-H188</f>
        <v>2988486.4</v>
      </c>
      <c r="J188" s="88">
        <v>0</v>
      </c>
      <c r="K188" s="88">
        <v>0</v>
      </c>
      <c r="L188" s="188" t="e">
        <f t="shared" si="71"/>
        <v>#DIV/0!</v>
      </c>
      <c r="M188" s="88"/>
      <c r="N188" s="88"/>
      <c r="O188" s="88"/>
      <c r="P188" s="88"/>
      <c r="Q188" s="88"/>
      <c r="R188" s="88"/>
      <c r="S188" s="88"/>
      <c r="T188" s="88"/>
      <c r="U188" s="88"/>
      <c r="V188" s="88">
        <v>0</v>
      </c>
      <c r="W188" s="149">
        <f t="shared" si="70"/>
        <v>2988486.4</v>
      </c>
    </row>
    <row r="189" spans="1:24" x14ac:dyDescent="0.2">
      <c r="A189" s="160">
        <v>1114</v>
      </c>
      <c r="B189" s="9" t="s">
        <v>147</v>
      </c>
      <c r="C189" s="8" t="s">
        <v>249</v>
      </c>
      <c r="D189" s="86">
        <v>39607869</v>
      </c>
      <c r="E189" s="88">
        <v>0</v>
      </c>
      <c r="F189" s="88">
        <v>0</v>
      </c>
      <c r="G189" s="88">
        <v>0</v>
      </c>
      <c r="H189" s="88">
        <v>0</v>
      </c>
      <c r="I189" s="147">
        <f t="shared" si="72"/>
        <v>39607869</v>
      </c>
      <c r="J189" s="88">
        <v>0</v>
      </c>
      <c r="K189" s="88">
        <v>0</v>
      </c>
      <c r="L189" s="188" t="e">
        <f t="shared" si="71"/>
        <v>#DIV/0!</v>
      </c>
      <c r="M189" s="88"/>
      <c r="N189" s="88"/>
      <c r="O189" s="88"/>
      <c r="P189" s="88"/>
      <c r="Q189" s="88"/>
      <c r="R189" s="88"/>
      <c r="S189" s="88"/>
      <c r="T189" s="88"/>
      <c r="U189" s="88"/>
      <c r="V189" s="88">
        <v>0</v>
      </c>
      <c r="W189" s="149">
        <f t="shared" ref="W189:W209" si="73">I189-V189</f>
        <v>39607869</v>
      </c>
    </row>
    <row r="190" spans="1:24" x14ac:dyDescent="0.2">
      <c r="A190" s="160">
        <v>1116</v>
      </c>
      <c r="B190" s="9" t="s">
        <v>147</v>
      </c>
      <c r="C190" s="8" t="s">
        <v>249</v>
      </c>
      <c r="D190" s="86">
        <v>8204276.5</v>
      </c>
      <c r="E190" s="88">
        <v>0</v>
      </c>
      <c r="F190" s="88">
        <v>0</v>
      </c>
      <c r="G190" s="88">
        <v>0</v>
      </c>
      <c r="H190" s="88">
        <v>0</v>
      </c>
      <c r="I190" s="147">
        <f t="shared" si="72"/>
        <v>8204276.5</v>
      </c>
      <c r="J190" s="88">
        <v>0</v>
      </c>
      <c r="K190" s="88">
        <v>0</v>
      </c>
      <c r="L190" s="188" t="e">
        <f t="shared" si="71"/>
        <v>#DIV/0!</v>
      </c>
      <c r="M190" s="88"/>
      <c r="N190" s="88"/>
      <c r="O190" s="88"/>
      <c r="P190" s="88"/>
      <c r="Q190" s="88"/>
      <c r="R190" s="88"/>
      <c r="S190" s="88"/>
      <c r="T190" s="88"/>
      <c r="U190" s="88"/>
      <c r="V190" s="88">
        <v>0</v>
      </c>
      <c r="W190" s="149">
        <f t="shared" si="73"/>
        <v>8204276.5</v>
      </c>
    </row>
    <row r="191" spans="1:24" x14ac:dyDescent="0.2">
      <c r="A191" s="160">
        <v>1124</v>
      </c>
      <c r="B191" s="9" t="s">
        <v>147</v>
      </c>
      <c r="C191" s="8" t="s">
        <v>249</v>
      </c>
      <c r="D191" s="86">
        <v>8501104.9000000004</v>
      </c>
      <c r="E191" s="88">
        <v>0</v>
      </c>
      <c r="F191" s="88">
        <v>0</v>
      </c>
      <c r="G191" s="88">
        <v>0</v>
      </c>
      <c r="H191" s="88">
        <v>0</v>
      </c>
      <c r="I191" s="147">
        <f t="shared" si="72"/>
        <v>8501104.9000000004</v>
      </c>
      <c r="J191" s="88">
        <v>0</v>
      </c>
      <c r="K191" s="88">
        <v>0</v>
      </c>
      <c r="L191" s="188" t="e">
        <f t="shared" si="71"/>
        <v>#DIV/0!</v>
      </c>
      <c r="M191" s="88"/>
      <c r="N191" s="88"/>
      <c r="O191" s="88"/>
      <c r="P191" s="88"/>
      <c r="Q191" s="88"/>
      <c r="R191" s="88"/>
      <c r="S191" s="88"/>
      <c r="T191" s="88"/>
      <c r="U191" s="88"/>
      <c r="V191" s="88">
        <v>0</v>
      </c>
      <c r="W191" s="149">
        <f t="shared" si="73"/>
        <v>8501104.9000000004</v>
      </c>
    </row>
    <row r="192" spans="1:24" x14ac:dyDescent="0.2">
      <c r="A192" s="160">
        <v>1125</v>
      </c>
      <c r="B192" s="9" t="s">
        <v>147</v>
      </c>
      <c r="C192" s="8" t="s">
        <v>249</v>
      </c>
      <c r="D192" s="86">
        <v>8501104.9000000004</v>
      </c>
      <c r="E192" s="88">
        <v>0</v>
      </c>
      <c r="F192" s="88">
        <v>0</v>
      </c>
      <c r="G192" s="88">
        <v>0</v>
      </c>
      <c r="H192" s="88">
        <v>0</v>
      </c>
      <c r="I192" s="147">
        <f>D192+E192-F192+G192-H192</f>
        <v>8501104.9000000004</v>
      </c>
      <c r="J192" s="88">
        <v>0</v>
      </c>
      <c r="K192" s="88">
        <v>0</v>
      </c>
      <c r="L192" s="188" t="e">
        <f t="shared" si="71"/>
        <v>#DIV/0!</v>
      </c>
      <c r="M192" s="88"/>
      <c r="N192" s="88"/>
      <c r="O192" s="88"/>
      <c r="P192" s="88"/>
      <c r="Q192" s="88"/>
      <c r="R192" s="88"/>
      <c r="S192" s="88"/>
      <c r="T192" s="88"/>
      <c r="U192" s="88"/>
      <c r="V192" s="88">
        <v>0</v>
      </c>
      <c r="W192" s="149">
        <f t="shared" si="73"/>
        <v>8501104.9000000004</v>
      </c>
    </row>
    <row r="193" spans="1:23" ht="25.5" x14ac:dyDescent="0.2">
      <c r="A193" s="160">
        <v>1128</v>
      </c>
      <c r="B193" s="9" t="s">
        <v>277</v>
      </c>
      <c r="C193" s="8" t="s">
        <v>249</v>
      </c>
      <c r="D193" s="86">
        <v>3166010.2</v>
      </c>
      <c r="E193" s="88">
        <v>0</v>
      </c>
      <c r="F193" s="88">
        <v>0</v>
      </c>
      <c r="G193" s="88">
        <v>0</v>
      </c>
      <c r="H193" s="88">
        <v>0</v>
      </c>
      <c r="I193" s="147">
        <f>D193+E193-F193+G193-H193</f>
        <v>3166010.2</v>
      </c>
      <c r="J193" s="88">
        <v>0</v>
      </c>
      <c r="K193" s="88">
        <v>0</v>
      </c>
      <c r="L193" s="188" t="e">
        <f t="shared" si="71"/>
        <v>#DIV/0!</v>
      </c>
      <c r="M193" s="88"/>
      <c r="N193" s="88"/>
      <c r="O193" s="88"/>
      <c r="P193" s="88"/>
      <c r="Q193" s="88"/>
      <c r="R193" s="88"/>
      <c r="S193" s="88"/>
      <c r="T193" s="88"/>
      <c r="U193" s="88"/>
      <c r="V193" s="88">
        <v>0</v>
      </c>
      <c r="W193" s="149">
        <f t="shared" si="73"/>
        <v>3166010.2</v>
      </c>
    </row>
    <row r="194" spans="1:23" x14ac:dyDescent="0.2">
      <c r="A194" s="160">
        <v>1141</v>
      </c>
      <c r="B194" s="9" t="s">
        <v>147</v>
      </c>
      <c r="C194" s="8" t="s">
        <v>249</v>
      </c>
      <c r="D194" s="86">
        <v>7005673.4000000004</v>
      </c>
      <c r="E194" s="88">
        <v>0</v>
      </c>
      <c r="F194" s="88">
        <v>0</v>
      </c>
      <c r="G194" s="88">
        <v>0</v>
      </c>
      <c r="H194" s="88">
        <v>0</v>
      </c>
      <c r="I194" s="147">
        <f>D194+E194-F194+G194-H194</f>
        <v>7005673.4000000004</v>
      </c>
      <c r="J194" s="88">
        <v>0</v>
      </c>
      <c r="K194" s="88">
        <v>0</v>
      </c>
      <c r="L194" s="188" t="e">
        <f t="shared" si="71"/>
        <v>#DIV/0!</v>
      </c>
      <c r="M194" s="88"/>
      <c r="N194" s="88"/>
      <c r="O194" s="88"/>
      <c r="P194" s="88"/>
      <c r="Q194" s="88"/>
      <c r="R194" s="88"/>
      <c r="S194" s="88"/>
      <c r="T194" s="88"/>
      <c r="U194" s="88"/>
      <c r="V194" s="88">
        <v>0</v>
      </c>
      <c r="W194" s="149">
        <f t="shared" si="73"/>
        <v>7005673.4000000004</v>
      </c>
    </row>
    <row r="195" spans="1:23" ht="25.5" x14ac:dyDescent="0.2">
      <c r="A195" s="160">
        <v>1178</v>
      </c>
      <c r="B195" s="9" t="s">
        <v>148</v>
      </c>
      <c r="C195" s="8" t="s">
        <v>233</v>
      </c>
      <c r="D195" s="86">
        <v>682636010.55999994</v>
      </c>
      <c r="E195" s="88">
        <v>0</v>
      </c>
      <c r="F195" s="88">
        <v>0</v>
      </c>
      <c r="G195" s="88">
        <v>0</v>
      </c>
      <c r="H195" s="88">
        <v>0</v>
      </c>
      <c r="I195" s="147">
        <f>D195+E195-F195+G195-H195</f>
        <v>682636010.55999994</v>
      </c>
      <c r="J195" s="88">
        <v>0</v>
      </c>
      <c r="K195" s="88">
        <v>0</v>
      </c>
      <c r="L195" s="188" t="e">
        <f t="shared" si="71"/>
        <v>#DIV/0!</v>
      </c>
      <c r="M195" s="88"/>
      <c r="N195" s="88"/>
      <c r="O195" s="88"/>
      <c r="P195" s="88"/>
      <c r="Q195" s="88"/>
      <c r="R195" s="88"/>
      <c r="S195" s="88"/>
      <c r="T195" s="88"/>
      <c r="U195" s="88"/>
      <c r="V195" s="88">
        <v>0</v>
      </c>
      <c r="W195" s="149">
        <f t="shared" si="73"/>
        <v>682636010.55999994</v>
      </c>
    </row>
    <row r="196" spans="1:23" ht="25.5" x14ac:dyDescent="0.2">
      <c r="A196" s="160">
        <v>1179</v>
      </c>
      <c r="B196" s="9" t="s">
        <v>148</v>
      </c>
      <c r="C196" s="8" t="s">
        <v>233</v>
      </c>
      <c r="D196" s="86">
        <v>313839809.69999999</v>
      </c>
      <c r="E196" s="88">
        <v>0</v>
      </c>
      <c r="F196" s="88">
        <v>0</v>
      </c>
      <c r="G196" s="88">
        <v>0</v>
      </c>
      <c r="H196" s="88">
        <v>0</v>
      </c>
      <c r="I196" s="147">
        <f>D196+E196-F196+G196-H196</f>
        <v>313839809.69999999</v>
      </c>
      <c r="J196" s="88">
        <v>0</v>
      </c>
      <c r="K196" s="88">
        <v>0</v>
      </c>
      <c r="L196" s="188" t="e">
        <f t="shared" si="71"/>
        <v>#DIV/0!</v>
      </c>
      <c r="M196" s="88"/>
      <c r="N196" s="88"/>
      <c r="O196" s="88"/>
      <c r="P196" s="88"/>
      <c r="Q196" s="88"/>
      <c r="R196" s="88"/>
      <c r="S196" s="88"/>
      <c r="T196" s="88"/>
      <c r="U196" s="88"/>
      <c r="V196" s="88">
        <v>0</v>
      </c>
      <c r="W196" s="149">
        <f t="shared" si="73"/>
        <v>313839809.69999999</v>
      </c>
    </row>
    <row r="197" spans="1:23" ht="25.5" x14ac:dyDescent="0.2">
      <c r="A197" s="160">
        <v>1080</v>
      </c>
      <c r="B197" s="9" t="s">
        <v>140</v>
      </c>
      <c r="C197" s="8" t="s">
        <v>233</v>
      </c>
      <c r="D197" s="86">
        <v>180347129</v>
      </c>
      <c r="E197" s="88">
        <v>0</v>
      </c>
      <c r="F197" s="88">
        <v>0</v>
      </c>
      <c r="G197" s="88">
        <v>0</v>
      </c>
      <c r="H197" s="88">
        <v>0</v>
      </c>
      <c r="I197" s="147">
        <f t="shared" ref="I197:I245" si="74">D197+E197-F197+G197-H197</f>
        <v>180347129</v>
      </c>
      <c r="J197" s="147"/>
      <c r="K197" s="147"/>
      <c r="L197" s="188" t="e">
        <f t="shared" si="71"/>
        <v>#DIV/0!</v>
      </c>
      <c r="M197" s="147"/>
      <c r="N197" s="147"/>
      <c r="O197" s="147"/>
      <c r="P197" s="147"/>
      <c r="Q197" s="147"/>
      <c r="R197" s="147"/>
      <c r="S197" s="147"/>
      <c r="T197" s="147"/>
      <c r="U197" s="147"/>
      <c r="V197" s="147"/>
      <c r="W197" s="149">
        <f t="shared" si="73"/>
        <v>180347129</v>
      </c>
    </row>
    <row r="198" spans="1:23" x14ac:dyDescent="0.2">
      <c r="A198" s="160">
        <v>1081</v>
      </c>
      <c r="B198" s="9" t="s">
        <v>147</v>
      </c>
      <c r="C198" s="8" t="s">
        <v>249</v>
      </c>
      <c r="D198" s="86">
        <v>5690350.9000000004</v>
      </c>
      <c r="E198" s="88">
        <v>0</v>
      </c>
      <c r="F198" s="88">
        <v>0</v>
      </c>
      <c r="G198" s="88">
        <v>0</v>
      </c>
      <c r="H198" s="88">
        <v>0</v>
      </c>
      <c r="I198" s="147">
        <f t="shared" si="74"/>
        <v>5690350.9000000004</v>
      </c>
      <c r="J198" s="147"/>
      <c r="K198" s="147"/>
      <c r="L198" s="188" t="e">
        <f t="shared" si="71"/>
        <v>#DIV/0!</v>
      </c>
      <c r="M198" s="147"/>
      <c r="N198" s="147"/>
      <c r="O198" s="147"/>
      <c r="P198" s="147"/>
      <c r="Q198" s="147"/>
      <c r="R198" s="147"/>
      <c r="S198" s="147"/>
      <c r="T198" s="147"/>
      <c r="U198" s="147"/>
      <c r="V198" s="147"/>
      <c r="W198" s="149">
        <f t="shared" si="73"/>
        <v>5690350.9000000004</v>
      </c>
    </row>
    <row r="199" spans="1:23" ht="25.5" x14ac:dyDescent="0.2">
      <c r="A199" s="160">
        <v>1087</v>
      </c>
      <c r="B199" s="9" t="s">
        <v>148</v>
      </c>
      <c r="C199" s="8" t="s">
        <v>233</v>
      </c>
      <c r="D199" s="86">
        <v>10600000.01</v>
      </c>
      <c r="E199" s="88">
        <v>0</v>
      </c>
      <c r="F199" s="88">
        <v>0</v>
      </c>
      <c r="G199" s="88">
        <v>0</v>
      </c>
      <c r="H199" s="88">
        <v>0</v>
      </c>
      <c r="I199" s="147">
        <f t="shared" si="74"/>
        <v>10600000.01</v>
      </c>
      <c r="J199" s="147"/>
      <c r="K199" s="147"/>
      <c r="L199" s="188" t="e">
        <f t="shared" si="71"/>
        <v>#DIV/0!</v>
      </c>
      <c r="M199" s="147"/>
      <c r="N199" s="147"/>
      <c r="O199" s="147"/>
      <c r="P199" s="147"/>
      <c r="Q199" s="147"/>
      <c r="R199" s="147"/>
      <c r="S199" s="147"/>
      <c r="T199" s="147"/>
      <c r="U199" s="147"/>
      <c r="V199" s="147"/>
      <c r="W199" s="149">
        <f t="shared" si="73"/>
        <v>10600000.01</v>
      </c>
    </row>
    <row r="200" spans="1:23" ht="25.5" x14ac:dyDescent="0.2">
      <c r="A200" s="160">
        <v>1213</v>
      </c>
      <c r="B200" s="9" t="s">
        <v>277</v>
      </c>
      <c r="C200" s="8" t="s">
        <v>249</v>
      </c>
      <c r="D200" s="86">
        <v>5028070.7</v>
      </c>
      <c r="E200" s="88">
        <v>0</v>
      </c>
      <c r="F200" s="88">
        <v>0</v>
      </c>
      <c r="G200" s="88">
        <v>0</v>
      </c>
      <c r="H200" s="88">
        <v>0</v>
      </c>
      <c r="I200" s="147">
        <f t="shared" si="74"/>
        <v>5028070.7</v>
      </c>
      <c r="J200" s="88">
        <v>0</v>
      </c>
      <c r="K200" s="88">
        <v>0</v>
      </c>
      <c r="L200" s="188" t="e">
        <f t="shared" ref="L200:L261" si="75">+J200/K200-1</f>
        <v>#DIV/0!</v>
      </c>
      <c r="M200" s="88"/>
      <c r="N200" s="88"/>
      <c r="O200" s="88"/>
      <c r="P200" s="88"/>
      <c r="Q200" s="88"/>
      <c r="R200" s="88"/>
      <c r="S200" s="88"/>
      <c r="T200" s="88"/>
      <c r="U200" s="88"/>
      <c r="V200" s="88">
        <v>0</v>
      </c>
      <c r="W200" s="149">
        <f t="shared" si="73"/>
        <v>5028070.7</v>
      </c>
    </row>
    <row r="201" spans="1:23" ht="25.5" x14ac:dyDescent="0.2">
      <c r="A201" s="160">
        <v>1240</v>
      </c>
      <c r="B201" s="9" t="s">
        <v>278</v>
      </c>
      <c r="C201" s="8" t="s">
        <v>233</v>
      </c>
      <c r="D201" s="86">
        <v>1080000</v>
      </c>
      <c r="E201" s="88">
        <v>0</v>
      </c>
      <c r="F201" s="88">
        <v>0</v>
      </c>
      <c r="G201" s="88">
        <v>0</v>
      </c>
      <c r="H201" s="88">
        <v>0</v>
      </c>
      <c r="I201" s="147">
        <f t="shared" si="74"/>
        <v>1080000</v>
      </c>
      <c r="J201" s="88">
        <v>0</v>
      </c>
      <c r="K201" s="88">
        <v>0</v>
      </c>
      <c r="L201" s="188" t="e">
        <f t="shared" si="75"/>
        <v>#DIV/0!</v>
      </c>
      <c r="M201" s="88"/>
      <c r="N201" s="88"/>
      <c r="O201" s="88"/>
      <c r="P201" s="88"/>
      <c r="Q201" s="88"/>
      <c r="R201" s="88"/>
      <c r="S201" s="88"/>
      <c r="T201" s="88"/>
      <c r="U201" s="88"/>
      <c r="V201" s="88">
        <v>0</v>
      </c>
      <c r="W201" s="149">
        <f t="shared" si="73"/>
        <v>1080000</v>
      </c>
    </row>
    <row r="202" spans="1:23" ht="25.5" x14ac:dyDescent="0.2">
      <c r="A202" s="160">
        <v>1324</v>
      </c>
      <c r="B202" s="9" t="s">
        <v>277</v>
      </c>
      <c r="C202" s="8" t="s">
        <v>249</v>
      </c>
      <c r="D202" s="86">
        <v>40123380</v>
      </c>
      <c r="E202" s="88">
        <v>0</v>
      </c>
      <c r="F202" s="88">
        <v>0</v>
      </c>
      <c r="G202" s="88">
        <v>0</v>
      </c>
      <c r="H202" s="88">
        <v>0</v>
      </c>
      <c r="I202" s="147">
        <f t="shared" si="74"/>
        <v>40123380</v>
      </c>
      <c r="J202" s="88">
        <v>0</v>
      </c>
      <c r="K202" s="88">
        <v>0</v>
      </c>
      <c r="L202" s="188" t="e">
        <f t="shared" si="75"/>
        <v>#DIV/0!</v>
      </c>
      <c r="M202" s="88"/>
      <c r="N202" s="88"/>
      <c r="O202" s="88"/>
      <c r="P202" s="88"/>
      <c r="Q202" s="88"/>
      <c r="R202" s="88"/>
      <c r="S202" s="88"/>
      <c r="T202" s="88"/>
      <c r="U202" s="88"/>
      <c r="V202" s="88">
        <v>0</v>
      </c>
      <c r="W202" s="149">
        <f t="shared" si="73"/>
        <v>40123380</v>
      </c>
    </row>
    <row r="203" spans="1:23" ht="25.5" x14ac:dyDescent="0.2">
      <c r="A203" s="160">
        <v>1325</v>
      </c>
      <c r="B203" s="9" t="s">
        <v>277</v>
      </c>
      <c r="C203" s="8" t="s">
        <v>249</v>
      </c>
      <c r="D203" s="86">
        <v>2207993.2999999998</v>
      </c>
      <c r="E203" s="88">
        <v>0</v>
      </c>
      <c r="F203" s="88">
        <v>0</v>
      </c>
      <c r="G203" s="88">
        <v>0</v>
      </c>
      <c r="H203" s="88">
        <v>0</v>
      </c>
      <c r="I203" s="147">
        <f t="shared" si="74"/>
        <v>2207993.2999999998</v>
      </c>
      <c r="J203" s="88">
        <v>0</v>
      </c>
      <c r="K203" s="88">
        <v>0</v>
      </c>
      <c r="L203" s="188" t="e">
        <f t="shared" si="75"/>
        <v>#DIV/0!</v>
      </c>
      <c r="M203" s="88"/>
      <c r="N203" s="88"/>
      <c r="O203" s="88"/>
      <c r="P203" s="88"/>
      <c r="Q203" s="88"/>
      <c r="R203" s="88"/>
      <c r="S203" s="88"/>
      <c r="T203" s="88"/>
      <c r="U203" s="88"/>
      <c r="V203" s="88">
        <v>0</v>
      </c>
      <c r="W203" s="149">
        <f t="shared" si="73"/>
        <v>2207993.2999999998</v>
      </c>
    </row>
    <row r="204" spans="1:23" ht="25.5" x14ac:dyDescent="0.2">
      <c r="A204" s="160">
        <v>1326</v>
      </c>
      <c r="B204" s="9" t="s">
        <v>277</v>
      </c>
      <c r="C204" s="8" t="s">
        <v>249</v>
      </c>
      <c r="D204" s="86">
        <v>2197968.4</v>
      </c>
      <c r="E204" s="88">
        <v>0</v>
      </c>
      <c r="F204" s="88">
        <v>0</v>
      </c>
      <c r="G204" s="88">
        <v>0</v>
      </c>
      <c r="H204" s="88">
        <v>0</v>
      </c>
      <c r="I204" s="147">
        <f t="shared" si="74"/>
        <v>2197968.4</v>
      </c>
      <c r="J204" s="88">
        <v>0</v>
      </c>
      <c r="K204" s="88">
        <v>0</v>
      </c>
      <c r="L204" s="188" t="e">
        <f t="shared" si="75"/>
        <v>#DIV/0!</v>
      </c>
      <c r="M204" s="88"/>
      <c r="N204" s="88"/>
      <c r="O204" s="88"/>
      <c r="P204" s="88"/>
      <c r="Q204" s="88"/>
      <c r="R204" s="88"/>
      <c r="S204" s="88"/>
      <c r="T204" s="88"/>
      <c r="U204" s="88"/>
      <c r="V204" s="88">
        <v>0</v>
      </c>
      <c r="W204" s="149">
        <f t="shared" si="73"/>
        <v>2197968.4</v>
      </c>
    </row>
    <row r="205" spans="1:23" ht="25.5" x14ac:dyDescent="0.2">
      <c r="A205" s="160">
        <v>1328</v>
      </c>
      <c r="B205" s="9" t="s">
        <v>156</v>
      </c>
      <c r="C205" s="8" t="s">
        <v>233</v>
      </c>
      <c r="D205" s="86">
        <v>1316000</v>
      </c>
      <c r="E205" s="88">
        <v>0</v>
      </c>
      <c r="F205" s="88">
        <v>0</v>
      </c>
      <c r="G205" s="88">
        <v>0</v>
      </c>
      <c r="H205" s="88">
        <v>0</v>
      </c>
      <c r="I205" s="147">
        <f t="shared" si="74"/>
        <v>1316000</v>
      </c>
      <c r="J205" s="88">
        <v>0</v>
      </c>
      <c r="K205" s="88">
        <v>0</v>
      </c>
      <c r="L205" s="188" t="e">
        <f t="shared" si="75"/>
        <v>#DIV/0!</v>
      </c>
      <c r="M205" s="88"/>
      <c r="N205" s="88"/>
      <c r="O205" s="88"/>
      <c r="P205" s="88"/>
      <c r="Q205" s="88"/>
      <c r="R205" s="88"/>
      <c r="S205" s="88"/>
      <c r="T205" s="88"/>
      <c r="U205" s="88"/>
      <c r="V205" s="88">
        <v>0</v>
      </c>
      <c r="W205" s="149">
        <f t="shared" si="73"/>
        <v>1316000</v>
      </c>
    </row>
    <row r="206" spans="1:23" ht="25.5" x14ac:dyDescent="0.2">
      <c r="A206" s="160">
        <v>1333</v>
      </c>
      <c r="B206" s="9" t="s">
        <v>156</v>
      </c>
      <c r="C206" s="8" t="s">
        <v>233</v>
      </c>
      <c r="D206" s="86">
        <v>10802000</v>
      </c>
      <c r="E206" s="88">
        <v>0</v>
      </c>
      <c r="F206" s="88">
        <v>0</v>
      </c>
      <c r="G206" s="88">
        <v>0</v>
      </c>
      <c r="H206" s="88">
        <v>0</v>
      </c>
      <c r="I206" s="147">
        <f t="shared" si="74"/>
        <v>10802000</v>
      </c>
      <c r="J206" s="88">
        <v>0</v>
      </c>
      <c r="K206" s="88">
        <v>0</v>
      </c>
      <c r="L206" s="188" t="e">
        <f t="shared" si="75"/>
        <v>#DIV/0!</v>
      </c>
      <c r="M206" s="88"/>
      <c r="N206" s="88"/>
      <c r="O206" s="88"/>
      <c r="P206" s="88"/>
      <c r="Q206" s="88"/>
      <c r="R206" s="88"/>
      <c r="S206" s="88"/>
      <c r="T206" s="88"/>
      <c r="U206" s="88"/>
      <c r="V206" s="88">
        <v>0</v>
      </c>
      <c r="W206" s="149">
        <f t="shared" si="73"/>
        <v>10802000</v>
      </c>
    </row>
    <row r="207" spans="1:23" x14ac:dyDescent="0.2">
      <c r="A207" s="160">
        <v>1345</v>
      </c>
      <c r="B207" s="9" t="s">
        <v>279</v>
      </c>
      <c r="C207" s="8" t="s">
        <v>107</v>
      </c>
      <c r="D207" s="86">
        <v>166136196.56</v>
      </c>
      <c r="E207" s="88">
        <v>0</v>
      </c>
      <c r="F207" s="88">
        <v>0</v>
      </c>
      <c r="G207" s="88">
        <v>0</v>
      </c>
      <c r="H207" s="88">
        <v>0</v>
      </c>
      <c r="I207" s="147">
        <f t="shared" si="74"/>
        <v>166136196.56</v>
      </c>
      <c r="J207" s="88">
        <v>0</v>
      </c>
      <c r="K207" s="88">
        <v>0</v>
      </c>
      <c r="L207" s="188" t="e">
        <f t="shared" si="75"/>
        <v>#DIV/0!</v>
      </c>
      <c r="M207" s="88"/>
      <c r="N207" s="88"/>
      <c r="O207" s="88"/>
      <c r="P207" s="88"/>
      <c r="Q207" s="88"/>
      <c r="R207" s="88"/>
      <c r="S207" s="88"/>
      <c r="T207" s="88"/>
      <c r="U207" s="88"/>
      <c r="V207" s="88">
        <v>0</v>
      </c>
      <c r="W207" s="149">
        <f t="shared" si="73"/>
        <v>166136196.56</v>
      </c>
    </row>
    <row r="208" spans="1:23" ht="25.5" x14ac:dyDescent="0.2">
      <c r="A208" s="160">
        <v>1348</v>
      </c>
      <c r="B208" s="9" t="s">
        <v>280</v>
      </c>
      <c r="C208" s="8" t="s">
        <v>102</v>
      </c>
      <c r="D208" s="86">
        <v>228482685.99000001</v>
      </c>
      <c r="E208" s="88">
        <v>0</v>
      </c>
      <c r="F208" s="88">
        <v>0</v>
      </c>
      <c r="G208" s="88">
        <v>0</v>
      </c>
      <c r="H208" s="88">
        <v>0</v>
      </c>
      <c r="I208" s="147">
        <f t="shared" si="74"/>
        <v>228482685.99000001</v>
      </c>
      <c r="J208" s="88">
        <v>0</v>
      </c>
      <c r="K208" s="88">
        <v>0</v>
      </c>
      <c r="L208" s="188" t="e">
        <f t="shared" si="75"/>
        <v>#DIV/0!</v>
      </c>
      <c r="M208" s="88"/>
      <c r="N208" s="88"/>
      <c r="O208" s="88"/>
      <c r="P208" s="88"/>
      <c r="Q208" s="88"/>
      <c r="R208" s="88"/>
      <c r="S208" s="88"/>
      <c r="T208" s="88"/>
      <c r="U208" s="88"/>
      <c r="V208" s="88">
        <v>0</v>
      </c>
      <c r="W208" s="149">
        <f t="shared" si="73"/>
        <v>228482685.99000001</v>
      </c>
    </row>
    <row r="209" spans="1:23" ht="25.5" x14ac:dyDescent="0.2">
      <c r="A209" s="160">
        <v>1358</v>
      </c>
      <c r="B209" s="9" t="s">
        <v>278</v>
      </c>
      <c r="C209" s="8" t="s">
        <v>233</v>
      </c>
      <c r="D209" s="86">
        <v>21200000</v>
      </c>
      <c r="E209" s="88">
        <v>0</v>
      </c>
      <c r="F209" s="88">
        <v>0</v>
      </c>
      <c r="G209" s="88">
        <v>0</v>
      </c>
      <c r="H209" s="88">
        <v>0</v>
      </c>
      <c r="I209" s="147">
        <f t="shared" si="74"/>
        <v>21200000</v>
      </c>
      <c r="J209" s="88">
        <v>0</v>
      </c>
      <c r="K209" s="88">
        <v>0</v>
      </c>
      <c r="L209" s="188" t="e">
        <f t="shared" si="75"/>
        <v>#DIV/0!</v>
      </c>
      <c r="M209" s="88"/>
      <c r="N209" s="88"/>
      <c r="O209" s="88"/>
      <c r="P209" s="88"/>
      <c r="Q209" s="88"/>
      <c r="R209" s="88"/>
      <c r="S209" s="88"/>
      <c r="T209" s="88"/>
      <c r="U209" s="88"/>
      <c r="V209" s="88">
        <v>0</v>
      </c>
      <c r="W209" s="149">
        <f t="shared" si="73"/>
        <v>21200000</v>
      </c>
    </row>
    <row r="210" spans="1:23" ht="25.5" x14ac:dyDescent="0.2">
      <c r="A210" s="160">
        <v>1376</v>
      </c>
      <c r="B210" s="9" t="s">
        <v>281</v>
      </c>
      <c r="C210" s="8" t="s">
        <v>107</v>
      </c>
      <c r="D210" s="86">
        <v>573619664.69000006</v>
      </c>
      <c r="E210" s="88">
        <v>0</v>
      </c>
      <c r="F210" s="88">
        <v>0</v>
      </c>
      <c r="G210" s="88">
        <v>0</v>
      </c>
      <c r="H210" s="88">
        <v>0</v>
      </c>
      <c r="I210" s="147">
        <f t="shared" si="74"/>
        <v>573619664.69000006</v>
      </c>
      <c r="J210" s="88">
        <v>0</v>
      </c>
      <c r="K210" s="88">
        <v>0</v>
      </c>
      <c r="L210" s="188" t="e">
        <f t="shared" si="75"/>
        <v>#DIV/0!</v>
      </c>
      <c r="M210" s="88"/>
      <c r="N210" s="88"/>
      <c r="O210" s="88"/>
      <c r="P210" s="88"/>
      <c r="Q210" s="88"/>
      <c r="R210" s="88"/>
      <c r="S210" s="88"/>
      <c r="T210" s="88"/>
      <c r="U210" s="88"/>
      <c r="V210" s="88">
        <v>0</v>
      </c>
      <c r="W210" s="149"/>
    </row>
    <row r="211" spans="1:23" ht="25.5" x14ac:dyDescent="0.2">
      <c r="A211" s="160">
        <v>1377</v>
      </c>
      <c r="B211" s="9" t="s">
        <v>281</v>
      </c>
      <c r="C211" s="8" t="s">
        <v>107</v>
      </c>
      <c r="D211" s="86">
        <v>40191740.939999998</v>
      </c>
      <c r="E211" s="88">
        <v>0</v>
      </c>
      <c r="F211" s="88">
        <v>0</v>
      </c>
      <c r="G211" s="88">
        <v>0</v>
      </c>
      <c r="H211" s="88">
        <v>0</v>
      </c>
      <c r="I211" s="147">
        <f t="shared" si="74"/>
        <v>40191740.939999998</v>
      </c>
      <c r="J211" s="88">
        <v>0</v>
      </c>
      <c r="K211" s="88">
        <v>0</v>
      </c>
      <c r="L211" s="188" t="e">
        <f t="shared" si="75"/>
        <v>#DIV/0!</v>
      </c>
      <c r="M211" s="88"/>
      <c r="N211" s="88"/>
      <c r="O211" s="88"/>
      <c r="P211" s="88"/>
      <c r="Q211" s="88"/>
      <c r="R211" s="88"/>
      <c r="S211" s="88"/>
      <c r="T211" s="88"/>
      <c r="U211" s="88"/>
      <c r="V211" s="88">
        <v>0</v>
      </c>
      <c r="W211" s="149">
        <f t="shared" ref="W211:W245" si="76">I211-V211</f>
        <v>40191740.939999998</v>
      </c>
    </row>
    <row r="212" spans="1:23" ht="25.5" x14ac:dyDescent="0.2">
      <c r="A212" s="160">
        <v>1378</v>
      </c>
      <c r="B212" s="9" t="s">
        <v>282</v>
      </c>
      <c r="C212" s="8" t="s">
        <v>102</v>
      </c>
      <c r="D212" s="86">
        <v>187471482.06</v>
      </c>
      <c r="E212" s="88">
        <v>0</v>
      </c>
      <c r="F212" s="88">
        <v>0</v>
      </c>
      <c r="G212" s="88">
        <v>0</v>
      </c>
      <c r="H212" s="88">
        <v>0</v>
      </c>
      <c r="I212" s="147">
        <f t="shared" si="74"/>
        <v>187471482.06</v>
      </c>
      <c r="J212" s="88">
        <v>0</v>
      </c>
      <c r="K212" s="88">
        <v>0</v>
      </c>
      <c r="L212" s="188" t="e">
        <f t="shared" si="75"/>
        <v>#DIV/0!</v>
      </c>
      <c r="M212" s="88"/>
      <c r="N212" s="88"/>
      <c r="O212" s="88"/>
      <c r="P212" s="88"/>
      <c r="Q212" s="88"/>
      <c r="R212" s="88"/>
      <c r="S212" s="88"/>
      <c r="T212" s="88"/>
      <c r="U212" s="88"/>
      <c r="V212" s="88">
        <v>0</v>
      </c>
      <c r="W212" s="149">
        <f t="shared" si="76"/>
        <v>187471482.06</v>
      </c>
    </row>
    <row r="213" spans="1:23" ht="25.5" x14ac:dyDescent="0.2">
      <c r="A213" s="160">
        <v>1379</v>
      </c>
      <c r="B213" s="9" t="s">
        <v>282</v>
      </c>
      <c r="C213" s="8" t="s">
        <v>102</v>
      </c>
      <c r="D213" s="86">
        <v>55605000</v>
      </c>
      <c r="E213" s="88">
        <v>0</v>
      </c>
      <c r="F213" s="88">
        <v>0</v>
      </c>
      <c r="G213" s="88">
        <v>0</v>
      </c>
      <c r="H213" s="88">
        <v>0</v>
      </c>
      <c r="I213" s="147">
        <f t="shared" si="74"/>
        <v>55605000</v>
      </c>
      <c r="J213" s="88">
        <v>0</v>
      </c>
      <c r="K213" s="88">
        <v>0</v>
      </c>
      <c r="L213" s="188" t="e">
        <f t="shared" si="75"/>
        <v>#DIV/0!</v>
      </c>
      <c r="M213" s="88"/>
      <c r="N213" s="88"/>
      <c r="O213" s="88"/>
      <c r="P213" s="88"/>
      <c r="Q213" s="88"/>
      <c r="R213" s="88"/>
      <c r="S213" s="88"/>
      <c r="T213" s="88"/>
      <c r="U213" s="88"/>
      <c r="V213" s="88">
        <v>0</v>
      </c>
      <c r="W213" s="149">
        <f t="shared" si="76"/>
        <v>55605000</v>
      </c>
    </row>
    <row r="214" spans="1:23" ht="25.5" x14ac:dyDescent="0.2">
      <c r="A214" s="160">
        <v>1380</v>
      </c>
      <c r="B214" s="9" t="s">
        <v>282</v>
      </c>
      <c r="C214" s="8" t="s">
        <v>102</v>
      </c>
      <c r="D214" s="86">
        <v>25207523.140000001</v>
      </c>
      <c r="E214" s="88">
        <v>0</v>
      </c>
      <c r="F214" s="88">
        <v>0</v>
      </c>
      <c r="G214" s="88">
        <v>0</v>
      </c>
      <c r="H214" s="88">
        <v>0</v>
      </c>
      <c r="I214" s="147">
        <f t="shared" si="74"/>
        <v>25207523.140000001</v>
      </c>
      <c r="J214" s="88">
        <v>0</v>
      </c>
      <c r="K214" s="88">
        <v>0</v>
      </c>
      <c r="L214" s="188" t="e">
        <f t="shared" si="75"/>
        <v>#DIV/0!</v>
      </c>
      <c r="M214" s="88"/>
      <c r="N214" s="88"/>
      <c r="O214" s="88"/>
      <c r="P214" s="88"/>
      <c r="Q214" s="88"/>
      <c r="R214" s="88"/>
      <c r="S214" s="88"/>
      <c r="T214" s="88"/>
      <c r="U214" s="88"/>
      <c r="V214" s="88">
        <v>0</v>
      </c>
      <c r="W214" s="149">
        <f t="shared" si="76"/>
        <v>25207523.140000001</v>
      </c>
    </row>
    <row r="215" spans="1:23" ht="25.5" x14ac:dyDescent="0.2">
      <c r="A215" s="160">
        <v>1382</v>
      </c>
      <c r="B215" s="9" t="s">
        <v>283</v>
      </c>
      <c r="C215" s="8" t="s">
        <v>107</v>
      </c>
      <c r="D215" s="86">
        <v>118892816.5</v>
      </c>
      <c r="E215" s="88">
        <v>0</v>
      </c>
      <c r="F215" s="88">
        <v>0</v>
      </c>
      <c r="G215" s="88">
        <v>0</v>
      </c>
      <c r="H215" s="88">
        <v>0</v>
      </c>
      <c r="I215" s="147">
        <f t="shared" si="74"/>
        <v>118892816.5</v>
      </c>
      <c r="J215" s="147">
        <v>0</v>
      </c>
      <c r="K215" s="147">
        <v>0</v>
      </c>
      <c r="L215" s="188" t="e">
        <f t="shared" si="75"/>
        <v>#DIV/0!</v>
      </c>
      <c r="M215" s="147"/>
      <c r="N215" s="147"/>
      <c r="O215" s="147"/>
      <c r="P215" s="147"/>
      <c r="Q215" s="147"/>
      <c r="R215" s="147"/>
      <c r="S215" s="147"/>
      <c r="T215" s="147"/>
      <c r="U215" s="147"/>
      <c r="V215" s="147">
        <v>0</v>
      </c>
      <c r="W215" s="149">
        <f t="shared" si="76"/>
        <v>118892816.5</v>
      </c>
    </row>
    <row r="216" spans="1:23" x14ac:dyDescent="0.2">
      <c r="A216" s="160">
        <v>1386</v>
      </c>
      <c r="B216" s="9" t="s">
        <v>284</v>
      </c>
      <c r="C216" s="8" t="s">
        <v>107</v>
      </c>
      <c r="D216" s="86">
        <v>617431276.20000005</v>
      </c>
      <c r="E216" s="88">
        <v>0</v>
      </c>
      <c r="F216" s="88">
        <v>0</v>
      </c>
      <c r="G216" s="88">
        <v>0</v>
      </c>
      <c r="H216" s="88">
        <v>0</v>
      </c>
      <c r="I216" s="147">
        <f t="shared" si="74"/>
        <v>617431276.20000005</v>
      </c>
      <c r="J216" s="147">
        <v>0</v>
      </c>
      <c r="K216" s="147">
        <v>0</v>
      </c>
      <c r="L216" s="188" t="e">
        <f t="shared" si="75"/>
        <v>#DIV/0!</v>
      </c>
      <c r="M216" s="147"/>
      <c r="N216" s="147"/>
      <c r="O216" s="147"/>
      <c r="P216" s="147"/>
      <c r="Q216" s="147"/>
      <c r="R216" s="147"/>
      <c r="S216" s="147"/>
      <c r="T216" s="147"/>
      <c r="U216" s="147"/>
      <c r="V216" s="147">
        <v>0</v>
      </c>
      <c r="W216" s="149">
        <f t="shared" si="76"/>
        <v>617431276.20000005</v>
      </c>
    </row>
    <row r="217" spans="1:23" x14ac:dyDescent="0.2">
      <c r="A217" s="160">
        <v>1389</v>
      </c>
      <c r="B217" s="9" t="s">
        <v>285</v>
      </c>
      <c r="C217" s="8" t="s">
        <v>107</v>
      </c>
      <c r="D217" s="86">
        <v>687385164.5</v>
      </c>
      <c r="E217" s="88">
        <v>0</v>
      </c>
      <c r="F217" s="88">
        <v>0</v>
      </c>
      <c r="G217" s="88">
        <v>0</v>
      </c>
      <c r="H217" s="88">
        <v>0</v>
      </c>
      <c r="I217" s="147">
        <f t="shared" si="74"/>
        <v>687385164.5</v>
      </c>
      <c r="J217" s="147">
        <v>0</v>
      </c>
      <c r="K217" s="147">
        <v>0</v>
      </c>
      <c r="L217" s="188" t="e">
        <f t="shared" si="75"/>
        <v>#DIV/0!</v>
      </c>
      <c r="M217" s="147"/>
      <c r="N217" s="147"/>
      <c r="O217" s="147"/>
      <c r="P217" s="147"/>
      <c r="Q217" s="147"/>
      <c r="R217" s="147"/>
      <c r="S217" s="147"/>
      <c r="T217" s="147"/>
      <c r="U217" s="147"/>
      <c r="V217" s="147">
        <v>0</v>
      </c>
      <c r="W217" s="149">
        <f t="shared" si="76"/>
        <v>687385164.5</v>
      </c>
    </row>
    <row r="218" spans="1:23" ht="25.5" x14ac:dyDescent="0.2">
      <c r="A218" s="160">
        <v>1390</v>
      </c>
      <c r="B218" s="9" t="s">
        <v>286</v>
      </c>
      <c r="C218" s="8" t="s">
        <v>102</v>
      </c>
      <c r="D218" s="86">
        <v>58197097.799999997</v>
      </c>
      <c r="E218" s="88">
        <v>0</v>
      </c>
      <c r="F218" s="88">
        <v>0</v>
      </c>
      <c r="G218" s="88">
        <v>0</v>
      </c>
      <c r="H218" s="88">
        <v>0</v>
      </c>
      <c r="I218" s="147">
        <f t="shared" si="74"/>
        <v>58197097.799999997</v>
      </c>
      <c r="J218" s="147">
        <v>0</v>
      </c>
      <c r="K218" s="147">
        <v>0</v>
      </c>
      <c r="L218" s="188" t="e">
        <f t="shared" si="75"/>
        <v>#DIV/0!</v>
      </c>
      <c r="M218" s="147"/>
      <c r="N218" s="147"/>
      <c r="O218" s="147"/>
      <c r="P218" s="147"/>
      <c r="Q218" s="147"/>
      <c r="R218" s="147"/>
      <c r="S218" s="147"/>
      <c r="T218" s="147"/>
      <c r="U218" s="147"/>
      <c r="V218" s="147">
        <v>0</v>
      </c>
      <c r="W218" s="149">
        <f t="shared" si="76"/>
        <v>58197097.799999997</v>
      </c>
    </row>
    <row r="219" spans="1:23" ht="25.5" x14ac:dyDescent="0.2">
      <c r="A219" s="160">
        <v>1391</v>
      </c>
      <c r="B219" s="9" t="s">
        <v>286</v>
      </c>
      <c r="C219" s="8" t="s">
        <v>102</v>
      </c>
      <c r="D219" s="86">
        <v>16920000</v>
      </c>
      <c r="E219" s="88">
        <v>0</v>
      </c>
      <c r="F219" s="88">
        <v>0</v>
      </c>
      <c r="G219" s="88">
        <v>0</v>
      </c>
      <c r="H219" s="147">
        <v>0</v>
      </c>
      <c r="I219" s="147">
        <f t="shared" si="74"/>
        <v>16920000</v>
      </c>
      <c r="J219" s="147">
        <v>0</v>
      </c>
      <c r="K219" s="147">
        <v>0</v>
      </c>
      <c r="L219" s="188" t="e">
        <f t="shared" si="75"/>
        <v>#DIV/0!</v>
      </c>
      <c r="M219" s="147"/>
      <c r="N219" s="147"/>
      <c r="O219" s="147"/>
      <c r="P219" s="147"/>
      <c r="Q219" s="147"/>
      <c r="R219" s="147"/>
      <c r="S219" s="147"/>
      <c r="T219" s="147"/>
      <c r="U219" s="147"/>
      <c r="V219" s="147">
        <v>0</v>
      </c>
      <c r="W219" s="149">
        <f t="shared" si="76"/>
        <v>16920000</v>
      </c>
    </row>
    <row r="220" spans="1:23" x14ac:dyDescent="0.2">
      <c r="A220" s="160">
        <v>1395</v>
      </c>
      <c r="B220" s="9" t="s">
        <v>226</v>
      </c>
      <c r="C220" s="8" t="s">
        <v>107</v>
      </c>
      <c r="D220" s="86">
        <v>177439219.5</v>
      </c>
      <c r="E220" s="88">
        <v>0</v>
      </c>
      <c r="F220" s="88">
        <v>0</v>
      </c>
      <c r="G220" s="88">
        <v>0</v>
      </c>
      <c r="H220" s="88">
        <v>0</v>
      </c>
      <c r="I220" s="147">
        <f t="shared" si="74"/>
        <v>177439219.5</v>
      </c>
      <c r="J220" s="147">
        <v>0</v>
      </c>
      <c r="K220" s="147">
        <v>0</v>
      </c>
      <c r="L220" s="188" t="e">
        <f t="shared" si="75"/>
        <v>#DIV/0!</v>
      </c>
      <c r="M220" s="147"/>
      <c r="N220" s="147"/>
      <c r="O220" s="147"/>
      <c r="P220" s="147"/>
      <c r="Q220" s="147"/>
      <c r="R220" s="147"/>
      <c r="S220" s="147"/>
      <c r="T220" s="147"/>
      <c r="U220" s="147"/>
      <c r="V220" s="147">
        <v>0</v>
      </c>
      <c r="W220" s="149">
        <f t="shared" si="76"/>
        <v>177439219.5</v>
      </c>
    </row>
    <row r="221" spans="1:23" ht="25.5" x14ac:dyDescent="0.2">
      <c r="A221" s="160">
        <v>1998</v>
      </c>
      <c r="B221" s="9" t="s">
        <v>278</v>
      </c>
      <c r="C221" s="8" t="s">
        <v>233</v>
      </c>
      <c r="D221" s="86">
        <v>13391333</v>
      </c>
      <c r="E221" s="88">
        <v>0</v>
      </c>
      <c r="F221" s="88">
        <v>0</v>
      </c>
      <c r="G221" s="88">
        <v>0</v>
      </c>
      <c r="H221" s="88">
        <v>0</v>
      </c>
      <c r="I221" s="147">
        <f t="shared" si="74"/>
        <v>13391333</v>
      </c>
      <c r="J221" s="147">
        <v>0</v>
      </c>
      <c r="K221" s="147">
        <v>0</v>
      </c>
      <c r="L221" s="188" t="e">
        <f t="shared" si="75"/>
        <v>#DIV/0!</v>
      </c>
      <c r="M221" s="147"/>
      <c r="N221" s="147"/>
      <c r="O221" s="147"/>
      <c r="P221" s="147"/>
      <c r="Q221" s="147"/>
      <c r="R221" s="147"/>
      <c r="S221" s="147"/>
      <c r="T221" s="147"/>
      <c r="U221" s="147"/>
      <c r="V221" s="147">
        <v>0</v>
      </c>
      <c r="W221" s="149">
        <f t="shared" si="76"/>
        <v>13391333</v>
      </c>
    </row>
    <row r="222" spans="1:23" ht="25.5" x14ac:dyDescent="0.2">
      <c r="A222" s="160">
        <v>1427</v>
      </c>
      <c r="B222" s="9" t="s">
        <v>287</v>
      </c>
      <c r="C222" s="8" t="s">
        <v>249</v>
      </c>
      <c r="D222" s="86">
        <v>400061630</v>
      </c>
      <c r="E222" s="88">
        <v>0</v>
      </c>
      <c r="F222" s="88">
        <v>0</v>
      </c>
      <c r="G222" s="88">
        <v>0</v>
      </c>
      <c r="H222" s="88">
        <v>0</v>
      </c>
      <c r="I222" s="147">
        <f t="shared" si="74"/>
        <v>400061630</v>
      </c>
      <c r="J222" s="147">
        <v>0</v>
      </c>
      <c r="K222" s="147">
        <v>0</v>
      </c>
      <c r="L222" s="188" t="e">
        <f t="shared" si="75"/>
        <v>#DIV/0!</v>
      </c>
      <c r="M222" s="147"/>
      <c r="N222" s="147"/>
      <c r="O222" s="147"/>
      <c r="P222" s="147"/>
      <c r="Q222" s="147"/>
      <c r="R222" s="147"/>
      <c r="S222" s="147"/>
      <c r="T222" s="147"/>
      <c r="U222" s="147"/>
      <c r="V222" s="147">
        <v>0</v>
      </c>
      <c r="W222" s="149">
        <f t="shared" si="76"/>
        <v>400061630</v>
      </c>
    </row>
    <row r="223" spans="1:23" x14ac:dyDescent="0.2">
      <c r="A223" s="160">
        <v>1490</v>
      </c>
      <c r="B223" s="9" t="s">
        <v>288</v>
      </c>
      <c r="C223" s="8" t="s">
        <v>249</v>
      </c>
      <c r="D223" s="86">
        <v>446387781.07999998</v>
      </c>
      <c r="E223" s="88">
        <v>0</v>
      </c>
      <c r="F223" s="88">
        <v>0</v>
      </c>
      <c r="G223" s="88">
        <v>0</v>
      </c>
      <c r="H223" s="88">
        <v>0</v>
      </c>
      <c r="I223" s="147">
        <f t="shared" si="74"/>
        <v>446387781.07999998</v>
      </c>
      <c r="J223" s="147"/>
      <c r="K223" s="147"/>
      <c r="L223" s="188" t="e">
        <f t="shared" si="75"/>
        <v>#DIV/0!</v>
      </c>
      <c r="M223" s="147"/>
      <c r="N223" s="147"/>
      <c r="O223" s="147"/>
      <c r="P223" s="147"/>
      <c r="Q223" s="147"/>
      <c r="R223" s="147"/>
      <c r="S223" s="147"/>
      <c r="T223" s="147"/>
      <c r="U223" s="147"/>
      <c r="V223" s="147"/>
      <c r="W223" s="149">
        <f t="shared" si="76"/>
        <v>446387781.07999998</v>
      </c>
    </row>
    <row r="224" spans="1:23" ht="25.5" x14ac:dyDescent="0.2">
      <c r="A224" s="160">
        <v>1491</v>
      </c>
      <c r="B224" s="9" t="s">
        <v>289</v>
      </c>
      <c r="C224" s="8" t="s">
        <v>249</v>
      </c>
      <c r="D224" s="86">
        <v>307542504.55000001</v>
      </c>
      <c r="E224" s="88">
        <v>0</v>
      </c>
      <c r="F224" s="88">
        <v>0</v>
      </c>
      <c r="G224" s="88">
        <v>0</v>
      </c>
      <c r="H224" s="88">
        <v>0</v>
      </c>
      <c r="I224" s="147">
        <f t="shared" si="74"/>
        <v>307542504.55000001</v>
      </c>
      <c r="J224" s="147">
        <v>0</v>
      </c>
      <c r="K224" s="147">
        <v>0</v>
      </c>
      <c r="L224" s="188" t="e">
        <f t="shared" si="75"/>
        <v>#DIV/0!</v>
      </c>
      <c r="M224" s="147"/>
      <c r="N224" s="147"/>
      <c r="O224" s="147"/>
      <c r="P224" s="147"/>
      <c r="Q224" s="147"/>
      <c r="R224" s="147"/>
      <c r="S224" s="147"/>
      <c r="T224" s="147"/>
      <c r="U224" s="147"/>
      <c r="V224" s="147">
        <v>0</v>
      </c>
      <c r="W224" s="149">
        <f t="shared" si="76"/>
        <v>307542504.55000001</v>
      </c>
    </row>
    <row r="225" spans="1:23" x14ac:dyDescent="0.2">
      <c r="A225" s="160">
        <v>1492</v>
      </c>
      <c r="B225" s="9" t="s">
        <v>290</v>
      </c>
      <c r="C225" s="8" t="s">
        <v>249</v>
      </c>
      <c r="D225" s="86">
        <v>42577668.369999997</v>
      </c>
      <c r="E225" s="88">
        <v>0</v>
      </c>
      <c r="F225" s="88">
        <v>0</v>
      </c>
      <c r="G225" s="88">
        <v>0</v>
      </c>
      <c r="H225" s="88">
        <v>0</v>
      </c>
      <c r="I225" s="147">
        <f t="shared" si="74"/>
        <v>42577668.369999997</v>
      </c>
      <c r="J225" s="147">
        <v>0</v>
      </c>
      <c r="K225" s="147">
        <v>0</v>
      </c>
      <c r="L225" s="188" t="e">
        <f t="shared" si="75"/>
        <v>#DIV/0!</v>
      </c>
      <c r="M225" s="147"/>
      <c r="N225" s="147"/>
      <c r="O225" s="147"/>
      <c r="P225" s="147"/>
      <c r="Q225" s="147"/>
      <c r="R225" s="147"/>
      <c r="S225" s="147"/>
      <c r="T225" s="147"/>
      <c r="U225" s="147"/>
      <c r="V225" s="147">
        <v>0</v>
      </c>
      <c r="W225" s="149">
        <f t="shared" si="76"/>
        <v>42577668.369999997</v>
      </c>
    </row>
    <row r="226" spans="1:23" ht="25.5" x14ac:dyDescent="0.2">
      <c r="A226" s="160">
        <v>1493</v>
      </c>
      <c r="B226" s="9" t="s">
        <v>291</v>
      </c>
      <c r="C226" s="8" t="s">
        <v>249</v>
      </c>
      <c r="D226" s="86">
        <v>11682124</v>
      </c>
      <c r="E226" s="88">
        <v>0</v>
      </c>
      <c r="F226" s="88">
        <v>0</v>
      </c>
      <c r="G226" s="88">
        <v>0</v>
      </c>
      <c r="H226" s="88">
        <v>0</v>
      </c>
      <c r="I226" s="147">
        <f t="shared" si="74"/>
        <v>11682124</v>
      </c>
      <c r="J226" s="147">
        <v>0</v>
      </c>
      <c r="K226" s="147">
        <v>0</v>
      </c>
      <c r="L226" s="188" t="e">
        <f t="shared" si="75"/>
        <v>#DIV/0!</v>
      </c>
      <c r="M226" s="147"/>
      <c r="N226" s="147"/>
      <c r="O226" s="147"/>
      <c r="P226" s="147"/>
      <c r="Q226" s="147"/>
      <c r="R226" s="147"/>
      <c r="S226" s="147"/>
      <c r="T226" s="147"/>
      <c r="U226" s="147"/>
      <c r="V226" s="147">
        <v>0</v>
      </c>
      <c r="W226" s="149">
        <f t="shared" si="76"/>
        <v>11682124</v>
      </c>
    </row>
    <row r="227" spans="1:23" ht="25.5" x14ac:dyDescent="0.2">
      <c r="A227" s="160">
        <v>1494</v>
      </c>
      <c r="B227" s="9" t="s">
        <v>221</v>
      </c>
      <c r="C227" s="8" t="s">
        <v>233</v>
      </c>
      <c r="D227" s="86">
        <v>41576193</v>
      </c>
      <c r="E227" s="88">
        <v>0</v>
      </c>
      <c r="F227" s="88">
        <v>0</v>
      </c>
      <c r="G227" s="88">
        <v>0</v>
      </c>
      <c r="H227" s="88">
        <v>0</v>
      </c>
      <c r="I227" s="147">
        <f t="shared" si="74"/>
        <v>41576193</v>
      </c>
      <c r="J227" s="147">
        <v>0</v>
      </c>
      <c r="K227" s="147">
        <v>0</v>
      </c>
      <c r="L227" s="188" t="e">
        <f t="shared" si="75"/>
        <v>#DIV/0!</v>
      </c>
      <c r="M227" s="147"/>
      <c r="N227" s="147"/>
      <c r="O227" s="147"/>
      <c r="P227" s="147"/>
      <c r="Q227" s="147"/>
      <c r="R227" s="147"/>
      <c r="S227" s="147"/>
      <c r="T227" s="147"/>
      <c r="U227" s="147"/>
      <c r="V227" s="147">
        <v>0</v>
      </c>
      <c r="W227" s="149">
        <f t="shared" si="76"/>
        <v>41576193</v>
      </c>
    </row>
    <row r="228" spans="1:23" ht="25.5" x14ac:dyDescent="0.2">
      <c r="A228" s="160">
        <v>1495</v>
      </c>
      <c r="B228" s="9" t="s">
        <v>156</v>
      </c>
      <c r="C228" s="8" t="s">
        <v>233</v>
      </c>
      <c r="D228" s="86">
        <v>4849661</v>
      </c>
      <c r="E228" s="88">
        <v>0</v>
      </c>
      <c r="F228" s="88">
        <v>0</v>
      </c>
      <c r="G228" s="88">
        <v>0</v>
      </c>
      <c r="H228" s="88">
        <v>0</v>
      </c>
      <c r="I228" s="147">
        <f t="shared" si="74"/>
        <v>4849661</v>
      </c>
      <c r="J228" s="147">
        <v>0</v>
      </c>
      <c r="K228" s="147">
        <v>0</v>
      </c>
      <c r="L228" s="188" t="e">
        <f t="shared" si="75"/>
        <v>#DIV/0!</v>
      </c>
      <c r="M228" s="147"/>
      <c r="N228" s="147"/>
      <c r="O228" s="147"/>
      <c r="P228" s="147"/>
      <c r="Q228" s="147"/>
      <c r="R228" s="147"/>
      <c r="S228" s="147"/>
      <c r="T228" s="147"/>
      <c r="U228" s="147"/>
      <c r="V228" s="147">
        <v>0</v>
      </c>
      <c r="W228" s="149">
        <f t="shared" si="76"/>
        <v>4849661</v>
      </c>
    </row>
    <row r="229" spans="1:23" x14ac:dyDescent="0.2">
      <c r="A229" s="160">
        <v>1519</v>
      </c>
      <c r="B229" s="9" t="s">
        <v>147</v>
      </c>
      <c r="C229" s="8" t="s">
        <v>249</v>
      </c>
      <c r="D229" s="86">
        <v>2358475.7000000002</v>
      </c>
      <c r="E229" s="88">
        <v>0</v>
      </c>
      <c r="F229" s="88">
        <v>0</v>
      </c>
      <c r="G229" s="88">
        <v>0</v>
      </c>
      <c r="H229" s="88">
        <v>0</v>
      </c>
      <c r="I229" s="147">
        <f t="shared" si="74"/>
        <v>2358475.7000000002</v>
      </c>
      <c r="J229" s="147">
        <v>0</v>
      </c>
      <c r="K229" s="147">
        <v>0</v>
      </c>
      <c r="L229" s="188" t="e">
        <f t="shared" si="75"/>
        <v>#DIV/0!</v>
      </c>
      <c r="M229" s="147"/>
      <c r="N229" s="147"/>
      <c r="O229" s="147"/>
      <c r="P229" s="147"/>
      <c r="Q229" s="147"/>
      <c r="R229" s="147"/>
      <c r="S229" s="147"/>
      <c r="T229" s="147"/>
      <c r="U229" s="147"/>
      <c r="V229" s="147">
        <v>0</v>
      </c>
      <c r="W229" s="149">
        <f t="shared" si="76"/>
        <v>2358475.7000000002</v>
      </c>
    </row>
    <row r="230" spans="1:23" x14ac:dyDescent="0.2">
      <c r="A230" s="160">
        <v>1520</v>
      </c>
      <c r="B230" s="9" t="s">
        <v>147</v>
      </c>
      <c r="C230" s="8" t="s">
        <v>249</v>
      </c>
      <c r="D230" s="86">
        <v>2758493</v>
      </c>
      <c r="E230" s="88">
        <v>0</v>
      </c>
      <c r="F230" s="88">
        <v>0</v>
      </c>
      <c r="G230" s="88">
        <v>0</v>
      </c>
      <c r="H230" s="88">
        <v>0</v>
      </c>
      <c r="I230" s="147">
        <f t="shared" si="74"/>
        <v>2758493</v>
      </c>
      <c r="J230" s="147">
        <v>0</v>
      </c>
      <c r="K230" s="147">
        <v>0</v>
      </c>
      <c r="L230" s="188" t="e">
        <f t="shared" si="75"/>
        <v>#DIV/0!</v>
      </c>
      <c r="M230" s="147"/>
      <c r="N230" s="147"/>
      <c r="O230" s="147"/>
      <c r="P230" s="147"/>
      <c r="Q230" s="147"/>
      <c r="R230" s="147"/>
      <c r="S230" s="147"/>
      <c r="T230" s="147"/>
      <c r="U230" s="147"/>
      <c r="V230" s="147">
        <v>0</v>
      </c>
      <c r="W230" s="149">
        <f t="shared" si="76"/>
        <v>2758493</v>
      </c>
    </row>
    <row r="231" spans="1:23" x14ac:dyDescent="0.2">
      <c r="A231" s="160">
        <v>1522</v>
      </c>
      <c r="B231" s="9" t="s">
        <v>147</v>
      </c>
      <c r="C231" s="8" t="s">
        <v>249</v>
      </c>
      <c r="D231" s="86">
        <v>3526900</v>
      </c>
      <c r="E231" s="88">
        <v>0</v>
      </c>
      <c r="F231" s="88">
        <v>0</v>
      </c>
      <c r="G231" s="88">
        <v>0</v>
      </c>
      <c r="H231" s="88">
        <v>0</v>
      </c>
      <c r="I231" s="147">
        <f t="shared" si="74"/>
        <v>3526900</v>
      </c>
      <c r="J231" s="147">
        <v>0</v>
      </c>
      <c r="K231" s="147">
        <v>0</v>
      </c>
      <c r="L231" s="188" t="e">
        <f t="shared" si="75"/>
        <v>#DIV/0!</v>
      </c>
      <c r="M231" s="147"/>
      <c r="N231" s="147"/>
      <c r="O231" s="147"/>
      <c r="P231" s="147"/>
      <c r="Q231" s="147"/>
      <c r="R231" s="147"/>
      <c r="S231" s="147"/>
      <c r="T231" s="147"/>
      <c r="U231" s="147"/>
      <c r="V231" s="147">
        <v>0</v>
      </c>
      <c r="W231" s="149">
        <f t="shared" si="76"/>
        <v>3526900</v>
      </c>
    </row>
    <row r="232" spans="1:23" ht="25.5" x14ac:dyDescent="0.2">
      <c r="A232" s="160">
        <v>1618</v>
      </c>
      <c r="B232" s="9" t="s">
        <v>277</v>
      </c>
      <c r="C232" s="8" t="s">
        <v>249</v>
      </c>
      <c r="D232" s="86">
        <v>44536688</v>
      </c>
      <c r="E232" s="88">
        <v>0</v>
      </c>
      <c r="F232" s="88">
        <v>0</v>
      </c>
      <c r="G232" s="88">
        <v>0</v>
      </c>
      <c r="H232" s="88">
        <v>0</v>
      </c>
      <c r="I232" s="147">
        <f t="shared" si="74"/>
        <v>44536688</v>
      </c>
      <c r="J232" s="147">
        <v>0</v>
      </c>
      <c r="K232" s="147">
        <v>0</v>
      </c>
      <c r="L232" s="188" t="e">
        <f t="shared" si="75"/>
        <v>#DIV/0!</v>
      </c>
      <c r="M232" s="147"/>
      <c r="N232" s="147"/>
      <c r="O232" s="147"/>
      <c r="P232" s="147"/>
      <c r="Q232" s="147"/>
      <c r="R232" s="147"/>
      <c r="S232" s="147"/>
      <c r="T232" s="147"/>
      <c r="U232" s="147"/>
      <c r="V232" s="147">
        <v>0</v>
      </c>
      <c r="W232" s="149">
        <f t="shared" si="76"/>
        <v>44536688</v>
      </c>
    </row>
    <row r="233" spans="1:23" ht="25.5" x14ac:dyDescent="0.2">
      <c r="A233" s="160">
        <v>1619</v>
      </c>
      <c r="B233" s="9" t="s">
        <v>277</v>
      </c>
      <c r="C233" s="8" t="s">
        <v>249</v>
      </c>
      <c r="D233" s="86">
        <v>19868612.5</v>
      </c>
      <c r="E233" s="88">
        <v>0</v>
      </c>
      <c r="F233" s="88">
        <v>0</v>
      </c>
      <c r="G233" s="88">
        <v>0</v>
      </c>
      <c r="H233" s="88">
        <v>0</v>
      </c>
      <c r="I233" s="147">
        <f t="shared" si="74"/>
        <v>19868612.5</v>
      </c>
      <c r="J233" s="147">
        <v>0</v>
      </c>
      <c r="K233" s="147">
        <v>0</v>
      </c>
      <c r="L233" s="188" t="e">
        <f t="shared" si="75"/>
        <v>#DIV/0!</v>
      </c>
      <c r="M233" s="147"/>
      <c r="N233" s="147"/>
      <c r="O233" s="147"/>
      <c r="P233" s="147"/>
      <c r="Q233" s="147"/>
      <c r="R233" s="147"/>
      <c r="S233" s="147"/>
      <c r="T233" s="147"/>
      <c r="U233" s="147"/>
      <c r="V233" s="147">
        <v>0</v>
      </c>
      <c r="W233" s="149">
        <f t="shared" si="76"/>
        <v>19868612.5</v>
      </c>
    </row>
    <row r="234" spans="1:23" ht="25.5" x14ac:dyDescent="0.2">
      <c r="A234" s="160">
        <v>1620</v>
      </c>
      <c r="B234" s="9" t="s">
        <v>277</v>
      </c>
      <c r="C234" s="8" t="s">
        <v>249</v>
      </c>
      <c r="D234" s="86">
        <v>30401355.5</v>
      </c>
      <c r="E234" s="88">
        <v>0</v>
      </c>
      <c r="F234" s="88">
        <v>0</v>
      </c>
      <c r="G234" s="88">
        <v>0</v>
      </c>
      <c r="H234" s="88">
        <v>0</v>
      </c>
      <c r="I234" s="147">
        <f t="shared" si="74"/>
        <v>30401355.5</v>
      </c>
      <c r="J234" s="147">
        <v>0</v>
      </c>
      <c r="K234" s="147">
        <v>0</v>
      </c>
      <c r="L234" s="188" t="e">
        <f t="shared" si="75"/>
        <v>#DIV/0!</v>
      </c>
      <c r="M234" s="147"/>
      <c r="N234" s="147"/>
      <c r="O234" s="147"/>
      <c r="P234" s="147"/>
      <c r="Q234" s="147"/>
      <c r="R234" s="147"/>
      <c r="S234" s="147"/>
      <c r="T234" s="147"/>
      <c r="U234" s="147"/>
      <c r="V234" s="147">
        <v>0</v>
      </c>
      <c r="W234" s="149">
        <f t="shared" si="76"/>
        <v>30401355.5</v>
      </c>
    </row>
    <row r="235" spans="1:23" ht="25.5" x14ac:dyDescent="0.2">
      <c r="A235" s="160">
        <v>1651</v>
      </c>
      <c r="B235" s="9" t="s">
        <v>292</v>
      </c>
      <c r="C235" s="8" t="s">
        <v>253</v>
      </c>
      <c r="D235" s="147">
        <v>11310000</v>
      </c>
      <c r="E235" s="88">
        <v>0</v>
      </c>
      <c r="F235" s="88">
        <v>0</v>
      </c>
      <c r="G235" s="88">
        <v>0</v>
      </c>
      <c r="H235" s="88">
        <v>0</v>
      </c>
      <c r="I235" s="147">
        <f t="shared" si="74"/>
        <v>11310000</v>
      </c>
      <c r="J235" s="147">
        <v>0</v>
      </c>
      <c r="K235" s="147">
        <v>0</v>
      </c>
      <c r="L235" s="188" t="e">
        <f t="shared" si="75"/>
        <v>#DIV/0!</v>
      </c>
      <c r="M235" s="147"/>
      <c r="N235" s="147"/>
      <c r="O235" s="147"/>
      <c r="P235" s="147"/>
      <c r="Q235" s="147"/>
      <c r="R235" s="147"/>
      <c r="S235" s="147"/>
      <c r="T235" s="147"/>
      <c r="U235" s="147"/>
      <c r="V235" s="147">
        <v>0</v>
      </c>
      <c r="W235" s="149">
        <f t="shared" si="76"/>
        <v>11310000</v>
      </c>
    </row>
    <row r="236" spans="1:23" ht="25.5" x14ac:dyDescent="0.2">
      <c r="A236" s="160">
        <v>1652</v>
      </c>
      <c r="B236" s="9" t="s">
        <v>292</v>
      </c>
      <c r="C236" s="8" t="s">
        <v>253</v>
      </c>
      <c r="D236" s="147">
        <v>9000000</v>
      </c>
      <c r="E236" s="88">
        <v>0</v>
      </c>
      <c r="F236" s="88">
        <v>0</v>
      </c>
      <c r="G236" s="88">
        <v>0</v>
      </c>
      <c r="H236" s="88">
        <v>0</v>
      </c>
      <c r="I236" s="147">
        <f t="shared" si="74"/>
        <v>9000000</v>
      </c>
      <c r="J236" s="147">
        <v>0</v>
      </c>
      <c r="K236" s="147">
        <v>0</v>
      </c>
      <c r="L236" s="188" t="e">
        <f t="shared" si="75"/>
        <v>#DIV/0!</v>
      </c>
      <c r="M236" s="147"/>
      <c r="N236" s="147"/>
      <c r="O236" s="147"/>
      <c r="P236" s="147"/>
      <c r="Q236" s="147"/>
      <c r="R236" s="147"/>
      <c r="S236" s="147"/>
      <c r="T236" s="147"/>
      <c r="U236" s="147"/>
      <c r="V236" s="147">
        <v>0</v>
      </c>
      <c r="W236" s="149">
        <f t="shared" si="76"/>
        <v>9000000</v>
      </c>
    </row>
    <row r="237" spans="1:23" x14ac:dyDescent="0.2">
      <c r="A237" s="160">
        <v>1653</v>
      </c>
      <c r="B237" s="9" t="s">
        <v>250</v>
      </c>
      <c r="C237" s="8" t="s">
        <v>249</v>
      </c>
      <c r="D237" s="147">
        <v>430000000</v>
      </c>
      <c r="E237" s="88">
        <v>0</v>
      </c>
      <c r="F237" s="88">
        <v>0</v>
      </c>
      <c r="G237" s="88">
        <v>0</v>
      </c>
      <c r="H237" s="88">
        <v>0</v>
      </c>
      <c r="I237" s="147">
        <f t="shared" si="74"/>
        <v>430000000</v>
      </c>
      <c r="J237" s="147">
        <v>0</v>
      </c>
      <c r="K237" s="147">
        <v>0</v>
      </c>
      <c r="L237" s="188" t="e">
        <f t="shared" si="75"/>
        <v>#DIV/0!</v>
      </c>
      <c r="M237" s="147"/>
      <c r="N237" s="147"/>
      <c r="O237" s="147"/>
      <c r="P237" s="147"/>
      <c r="Q237" s="147"/>
      <c r="R237" s="147"/>
      <c r="S237" s="147"/>
      <c r="T237" s="147"/>
      <c r="U237" s="147"/>
      <c r="V237" s="147">
        <v>0</v>
      </c>
      <c r="W237" s="149">
        <f t="shared" si="76"/>
        <v>430000000</v>
      </c>
    </row>
    <row r="238" spans="1:23" x14ac:dyDescent="0.2">
      <c r="A238" s="160">
        <v>1654</v>
      </c>
      <c r="B238" s="9" t="s">
        <v>250</v>
      </c>
      <c r="C238" s="8" t="s">
        <v>249</v>
      </c>
      <c r="D238" s="147">
        <v>112853870.7</v>
      </c>
      <c r="E238" s="88">
        <v>0</v>
      </c>
      <c r="F238" s="88">
        <v>0</v>
      </c>
      <c r="G238" s="88">
        <v>0</v>
      </c>
      <c r="H238" s="88">
        <v>0</v>
      </c>
      <c r="I238" s="147">
        <f t="shared" si="74"/>
        <v>112853870.7</v>
      </c>
      <c r="J238" s="147">
        <v>0</v>
      </c>
      <c r="K238" s="147">
        <v>0</v>
      </c>
      <c r="L238" s="188" t="e">
        <f t="shared" si="75"/>
        <v>#DIV/0!</v>
      </c>
      <c r="M238" s="147"/>
      <c r="N238" s="147"/>
      <c r="O238" s="147"/>
      <c r="P238" s="147"/>
      <c r="Q238" s="147"/>
      <c r="R238" s="147"/>
      <c r="S238" s="147"/>
      <c r="T238" s="147"/>
      <c r="U238" s="147"/>
      <c r="V238" s="147">
        <v>0</v>
      </c>
      <c r="W238" s="149">
        <f t="shared" si="76"/>
        <v>112853870.7</v>
      </c>
    </row>
    <row r="239" spans="1:23" ht="25.5" x14ac:dyDescent="0.2">
      <c r="A239" s="160">
        <v>1655</v>
      </c>
      <c r="B239" s="9" t="s">
        <v>293</v>
      </c>
      <c r="C239" s="8" t="s">
        <v>249</v>
      </c>
      <c r="D239" s="147">
        <v>45470481.369999997</v>
      </c>
      <c r="E239" s="88">
        <v>0</v>
      </c>
      <c r="F239" s="88">
        <v>0</v>
      </c>
      <c r="G239" s="88">
        <v>0</v>
      </c>
      <c r="H239" s="88">
        <v>0</v>
      </c>
      <c r="I239" s="147">
        <f t="shared" si="74"/>
        <v>45470481.369999997</v>
      </c>
      <c r="J239" s="147">
        <v>0</v>
      </c>
      <c r="K239" s="147">
        <v>0</v>
      </c>
      <c r="L239" s="188" t="e">
        <f t="shared" si="75"/>
        <v>#DIV/0!</v>
      </c>
      <c r="M239" s="147"/>
      <c r="N239" s="147"/>
      <c r="O239" s="147"/>
      <c r="P239" s="147"/>
      <c r="Q239" s="147"/>
      <c r="R239" s="147"/>
      <c r="S239" s="147"/>
      <c r="T239" s="147"/>
      <c r="U239" s="147"/>
      <c r="V239" s="147">
        <v>0</v>
      </c>
      <c r="W239" s="149">
        <f t="shared" si="76"/>
        <v>45470481.369999997</v>
      </c>
    </row>
    <row r="240" spans="1:23" x14ac:dyDescent="0.2">
      <c r="A240" s="160">
        <v>1656</v>
      </c>
      <c r="B240" s="9" t="s">
        <v>294</v>
      </c>
      <c r="C240" s="8" t="s">
        <v>249</v>
      </c>
      <c r="D240" s="147">
        <v>1003491500</v>
      </c>
      <c r="E240" s="88">
        <v>0</v>
      </c>
      <c r="F240" s="88">
        <v>0</v>
      </c>
      <c r="G240" s="88">
        <v>0</v>
      </c>
      <c r="H240" s="88">
        <v>0</v>
      </c>
      <c r="I240" s="147">
        <f t="shared" si="74"/>
        <v>1003491500</v>
      </c>
      <c r="J240" s="147">
        <v>0</v>
      </c>
      <c r="K240" s="147">
        <v>0</v>
      </c>
      <c r="L240" s="188" t="e">
        <f t="shared" si="75"/>
        <v>#DIV/0!</v>
      </c>
      <c r="M240" s="147"/>
      <c r="N240" s="147"/>
      <c r="O240" s="147"/>
      <c r="P240" s="147"/>
      <c r="Q240" s="147"/>
      <c r="R240" s="147"/>
      <c r="S240" s="147"/>
      <c r="T240" s="147"/>
      <c r="U240" s="147"/>
      <c r="V240" s="147">
        <v>0</v>
      </c>
      <c r="W240" s="149">
        <f t="shared" si="76"/>
        <v>1003491500</v>
      </c>
    </row>
    <row r="241" spans="1:66" x14ac:dyDescent="0.2">
      <c r="A241" s="160">
        <v>1657</v>
      </c>
      <c r="B241" s="9" t="s">
        <v>251</v>
      </c>
      <c r="C241" s="8" t="s">
        <v>107</v>
      </c>
      <c r="D241" s="147">
        <v>137846830</v>
      </c>
      <c r="E241" s="88">
        <v>0</v>
      </c>
      <c r="F241" s="88">
        <v>0</v>
      </c>
      <c r="G241" s="88">
        <v>0</v>
      </c>
      <c r="H241" s="88">
        <v>0</v>
      </c>
      <c r="I241" s="147">
        <f t="shared" si="74"/>
        <v>137846830</v>
      </c>
      <c r="J241" s="147">
        <v>0</v>
      </c>
      <c r="K241" s="147">
        <v>0</v>
      </c>
      <c r="L241" s="188" t="e">
        <f t="shared" si="75"/>
        <v>#DIV/0!</v>
      </c>
      <c r="M241" s="147"/>
      <c r="N241" s="147"/>
      <c r="O241" s="147"/>
      <c r="P241" s="147"/>
      <c r="Q241" s="147"/>
      <c r="R241" s="147"/>
      <c r="S241" s="147"/>
      <c r="T241" s="147"/>
      <c r="U241" s="147"/>
      <c r="V241" s="147">
        <v>0</v>
      </c>
      <c r="W241" s="149">
        <f t="shared" si="76"/>
        <v>137846830</v>
      </c>
    </row>
    <row r="242" spans="1:66" ht="25.5" x14ac:dyDescent="0.2">
      <c r="A242" s="160">
        <v>1658</v>
      </c>
      <c r="B242" s="9" t="s">
        <v>252</v>
      </c>
      <c r="C242" s="8" t="s">
        <v>253</v>
      </c>
      <c r="D242" s="147">
        <v>116106151</v>
      </c>
      <c r="E242" s="88">
        <v>0</v>
      </c>
      <c r="F242" s="88">
        <v>0</v>
      </c>
      <c r="G242" s="88">
        <v>0</v>
      </c>
      <c r="H242" s="88">
        <v>0</v>
      </c>
      <c r="I242" s="147">
        <f t="shared" si="74"/>
        <v>116106151</v>
      </c>
      <c r="J242" s="147">
        <v>0</v>
      </c>
      <c r="K242" s="147">
        <v>0</v>
      </c>
      <c r="L242" s="188" t="e">
        <f t="shared" si="75"/>
        <v>#DIV/0!</v>
      </c>
      <c r="M242" s="147"/>
      <c r="N242" s="147"/>
      <c r="O242" s="147"/>
      <c r="P242" s="147"/>
      <c r="Q242" s="147"/>
      <c r="R242" s="147"/>
      <c r="S242" s="147"/>
      <c r="T242" s="147"/>
      <c r="U242" s="147"/>
      <c r="V242" s="147">
        <v>0</v>
      </c>
      <c r="W242" s="149">
        <f t="shared" si="76"/>
        <v>116106151</v>
      </c>
    </row>
    <row r="243" spans="1:66" ht="25.5" x14ac:dyDescent="0.2">
      <c r="A243" s="160">
        <v>1659</v>
      </c>
      <c r="B243" s="9" t="s">
        <v>292</v>
      </c>
      <c r="C243" s="8" t="s">
        <v>253</v>
      </c>
      <c r="D243" s="147">
        <v>1299384.24</v>
      </c>
      <c r="E243" s="88">
        <v>0</v>
      </c>
      <c r="F243" s="88">
        <v>0</v>
      </c>
      <c r="G243" s="88">
        <v>0</v>
      </c>
      <c r="H243" s="88">
        <v>0</v>
      </c>
      <c r="I243" s="147">
        <f t="shared" si="74"/>
        <v>1299384.24</v>
      </c>
      <c r="J243" s="147">
        <v>0</v>
      </c>
      <c r="K243" s="147">
        <v>0</v>
      </c>
      <c r="L243" s="188" t="e">
        <f t="shared" si="75"/>
        <v>#DIV/0!</v>
      </c>
      <c r="M243" s="147"/>
      <c r="N243" s="147"/>
      <c r="O243" s="147"/>
      <c r="P243" s="147"/>
      <c r="Q243" s="147"/>
      <c r="R243" s="147"/>
      <c r="S243" s="147"/>
      <c r="T243" s="147"/>
      <c r="U243" s="147"/>
      <c r="V243" s="147">
        <v>0</v>
      </c>
      <c r="W243" s="149">
        <f t="shared" si="76"/>
        <v>1299384.24</v>
      </c>
    </row>
    <row r="244" spans="1:66" x14ac:dyDescent="0.2">
      <c r="A244" s="160">
        <v>1661</v>
      </c>
      <c r="B244" s="9" t="s">
        <v>295</v>
      </c>
      <c r="C244" s="8" t="s">
        <v>249</v>
      </c>
      <c r="D244" s="86">
        <v>149999926</v>
      </c>
      <c r="E244" s="88">
        <v>0</v>
      </c>
      <c r="F244" s="88">
        <v>0</v>
      </c>
      <c r="G244" s="88">
        <v>0</v>
      </c>
      <c r="H244" s="88">
        <v>0</v>
      </c>
      <c r="I244" s="147">
        <f t="shared" si="74"/>
        <v>149999926</v>
      </c>
      <c r="J244" s="147">
        <v>0</v>
      </c>
      <c r="K244" s="147">
        <v>0</v>
      </c>
      <c r="L244" s="188" t="e">
        <f t="shared" si="75"/>
        <v>#DIV/0!</v>
      </c>
      <c r="M244" s="147"/>
      <c r="N244" s="147"/>
      <c r="O244" s="147"/>
      <c r="P244" s="147"/>
      <c r="Q244" s="147"/>
      <c r="R244" s="147"/>
      <c r="S244" s="147"/>
      <c r="T244" s="147"/>
      <c r="U244" s="147"/>
      <c r="V244" s="147">
        <v>0</v>
      </c>
      <c r="W244" s="149">
        <f t="shared" si="76"/>
        <v>149999926</v>
      </c>
    </row>
    <row r="245" spans="1:66" x14ac:dyDescent="0.2">
      <c r="A245" s="160">
        <v>1664</v>
      </c>
      <c r="B245" s="9" t="s">
        <v>296</v>
      </c>
      <c r="C245" s="8" t="s">
        <v>249</v>
      </c>
      <c r="D245" s="86">
        <v>2225223401</v>
      </c>
      <c r="E245" s="88">
        <v>0</v>
      </c>
      <c r="F245" s="88">
        <v>0</v>
      </c>
      <c r="G245" s="88">
        <v>0</v>
      </c>
      <c r="H245" s="88">
        <v>0</v>
      </c>
      <c r="I245" s="147">
        <f t="shared" si="74"/>
        <v>2225223401</v>
      </c>
      <c r="J245" s="147"/>
      <c r="K245" s="147"/>
      <c r="L245" s="188" t="e">
        <f t="shared" si="75"/>
        <v>#DIV/0!</v>
      </c>
      <c r="M245" s="147"/>
      <c r="N245" s="147"/>
      <c r="O245" s="147"/>
      <c r="P245" s="147"/>
      <c r="Q245" s="147"/>
      <c r="R245" s="147"/>
      <c r="S245" s="147"/>
      <c r="T245" s="147"/>
      <c r="U245" s="147"/>
      <c r="V245" s="147"/>
      <c r="W245" s="149">
        <f t="shared" si="76"/>
        <v>2225223401</v>
      </c>
    </row>
    <row r="246" spans="1:66" s="32" customFormat="1" x14ac:dyDescent="0.2">
      <c r="A246" s="160"/>
      <c r="B246" s="33">
        <v>3</v>
      </c>
      <c r="C246" s="179" t="s">
        <v>46</v>
      </c>
      <c r="D246" s="87">
        <f>+D247+D249</f>
        <v>240173843.73000002</v>
      </c>
      <c r="E246" s="86">
        <v>0</v>
      </c>
      <c r="F246" s="86">
        <v>0</v>
      </c>
      <c r="G246" s="86">
        <v>0</v>
      </c>
      <c r="H246" s="86">
        <v>0</v>
      </c>
      <c r="I246" s="87">
        <f>+I247+I249</f>
        <v>240173843.73000002</v>
      </c>
      <c r="J246" s="73">
        <f>J247</f>
        <v>0</v>
      </c>
      <c r="K246" s="73">
        <f t="shared" ref="K246:V247" si="77">K247</f>
        <v>0</v>
      </c>
      <c r="L246" s="188" t="e">
        <f t="shared" si="75"/>
        <v>#DIV/0!</v>
      </c>
      <c r="M246" s="73"/>
      <c r="N246" s="73"/>
      <c r="O246" s="73"/>
      <c r="P246" s="73"/>
      <c r="Q246" s="73"/>
      <c r="R246" s="73"/>
      <c r="S246" s="73"/>
      <c r="T246" s="73"/>
      <c r="U246" s="73"/>
      <c r="V246" s="73">
        <f t="shared" si="77"/>
        <v>0</v>
      </c>
      <c r="W246" s="64"/>
      <c r="X246" s="29"/>
      <c r="Y246" s="29"/>
      <c r="Z246" s="29"/>
      <c r="AA246" s="29"/>
      <c r="AB246" s="29"/>
      <c r="AC246" s="29"/>
      <c r="AD246" s="29"/>
      <c r="AE246" s="29"/>
      <c r="AF246" s="29"/>
      <c r="AG246" s="29"/>
      <c r="AH246" s="29"/>
      <c r="AI246" s="29"/>
      <c r="AJ246" s="29"/>
      <c r="AK246" s="29"/>
      <c r="AL246" s="29"/>
      <c r="AM246" s="29"/>
      <c r="AN246" s="29"/>
      <c r="AO246" s="29"/>
      <c r="AP246" s="29"/>
      <c r="AQ246" s="29"/>
      <c r="AR246" s="29"/>
      <c r="AS246" s="29"/>
      <c r="AT246" s="29"/>
      <c r="AU246" s="29"/>
      <c r="AV246" s="29"/>
      <c r="AW246" s="29"/>
      <c r="AX246" s="29"/>
      <c r="AY246" s="29"/>
      <c r="AZ246" s="29"/>
      <c r="BA246" s="29"/>
      <c r="BB246" s="29"/>
      <c r="BC246" s="29"/>
      <c r="BD246" s="29"/>
      <c r="BE246" s="29"/>
      <c r="BF246" s="29"/>
      <c r="BG246" s="29"/>
      <c r="BH246" s="29"/>
      <c r="BI246" s="29"/>
      <c r="BJ246" s="29"/>
      <c r="BK246" s="29"/>
      <c r="BL246" s="29"/>
      <c r="BM246" s="29"/>
      <c r="BN246" s="29"/>
    </row>
    <row r="247" spans="1:66" s="26" customFormat="1" x14ac:dyDescent="0.2">
      <c r="A247" s="157"/>
      <c r="B247" s="31"/>
      <c r="C247" s="178" t="s">
        <v>19</v>
      </c>
      <c r="D247" s="85">
        <f>SUM(D248:D248)</f>
        <v>0</v>
      </c>
      <c r="E247" s="85">
        <f>+E248</f>
        <v>0</v>
      </c>
      <c r="F247" s="85">
        <f>+F248</f>
        <v>0</v>
      </c>
      <c r="G247" s="85">
        <f>+G248</f>
        <v>0</v>
      </c>
      <c r="H247" s="85">
        <f>+H248</f>
        <v>0</v>
      </c>
      <c r="I247" s="85">
        <f>D247+E247-F247+G247-H247</f>
        <v>0</v>
      </c>
      <c r="J247" s="75">
        <f>J248</f>
        <v>0</v>
      </c>
      <c r="K247" s="75">
        <f t="shared" si="77"/>
        <v>0</v>
      </c>
      <c r="L247" s="188" t="e">
        <f t="shared" si="75"/>
        <v>#DIV/0!</v>
      </c>
      <c r="M247" s="75"/>
      <c r="N247" s="75"/>
      <c r="O247" s="75"/>
      <c r="P247" s="75"/>
      <c r="Q247" s="75"/>
      <c r="R247" s="75"/>
      <c r="S247" s="75"/>
      <c r="T247" s="75"/>
      <c r="U247" s="75"/>
      <c r="V247" s="75">
        <f t="shared" si="77"/>
        <v>0</v>
      </c>
      <c r="W247" s="64"/>
    </row>
    <row r="248" spans="1:66" s="32" customFormat="1" x14ac:dyDescent="0.2">
      <c r="A248" s="160"/>
      <c r="B248" s="9"/>
      <c r="C248" s="180"/>
      <c r="D248" s="86">
        <v>0</v>
      </c>
      <c r="E248" s="86">
        <v>0</v>
      </c>
      <c r="F248" s="86">
        <v>0</v>
      </c>
      <c r="G248" s="86">
        <v>0</v>
      </c>
      <c r="H248" s="86">
        <v>0</v>
      </c>
      <c r="I248" s="86">
        <f>D248+E248-F248+G248-H248</f>
        <v>0</v>
      </c>
      <c r="J248" s="86"/>
      <c r="K248" s="86"/>
      <c r="L248" s="188" t="e">
        <f t="shared" si="75"/>
        <v>#DIV/0!</v>
      </c>
      <c r="M248" s="86"/>
      <c r="N248" s="86"/>
      <c r="O248" s="86"/>
      <c r="P248" s="86"/>
      <c r="Q248" s="86"/>
      <c r="R248" s="86"/>
      <c r="S248" s="86"/>
      <c r="T248" s="86"/>
      <c r="U248" s="86"/>
      <c r="V248" s="86"/>
      <c r="W248" s="64"/>
      <c r="X248" s="29"/>
      <c r="Y248" s="29"/>
      <c r="Z248" s="29"/>
      <c r="AA248" s="29"/>
      <c r="AB248" s="29"/>
      <c r="AC248" s="29"/>
      <c r="AD248" s="29"/>
      <c r="AE248" s="29"/>
      <c r="AF248" s="29"/>
      <c r="AG248" s="29"/>
      <c r="AH248" s="29"/>
      <c r="AI248" s="29"/>
      <c r="AJ248" s="29"/>
      <c r="AK248" s="29"/>
      <c r="AL248" s="29"/>
      <c r="AM248" s="29"/>
      <c r="AN248" s="29"/>
      <c r="AO248" s="29"/>
      <c r="AP248" s="29"/>
      <c r="AQ248" s="29"/>
      <c r="AR248" s="29"/>
      <c r="AS248" s="29"/>
      <c r="AT248" s="29"/>
      <c r="AU248" s="29"/>
      <c r="AV248" s="29"/>
      <c r="AW248" s="29"/>
      <c r="AX248" s="29"/>
      <c r="AY248" s="29"/>
      <c r="AZ248" s="29"/>
      <c r="BA248" s="29"/>
      <c r="BB248" s="29"/>
      <c r="BC248" s="29"/>
      <c r="BD248" s="29"/>
      <c r="BE248" s="29"/>
      <c r="BF248" s="29"/>
      <c r="BG248" s="29"/>
      <c r="BH248" s="29"/>
      <c r="BI248" s="29"/>
      <c r="BJ248" s="29"/>
      <c r="BK248" s="29"/>
      <c r="BL248" s="29"/>
      <c r="BM248" s="29"/>
      <c r="BN248" s="29"/>
    </row>
    <row r="249" spans="1:66" s="34" customFormat="1" x14ac:dyDescent="0.2">
      <c r="A249" s="163"/>
      <c r="B249" s="31"/>
      <c r="C249" s="178" t="s">
        <v>20</v>
      </c>
      <c r="D249" s="85">
        <f>D250+D251+D252+D253+D254+D255+D256+D257+D258+D259</f>
        <v>240173843.73000002</v>
      </c>
      <c r="E249" s="85">
        <f t="shared" ref="E249:V249" si="78">E250+E251+E252+E253+E254+E255+E256+E257+E258+E259</f>
        <v>0</v>
      </c>
      <c r="F249" s="85">
        <f t="shared" si="78"/>
        <v>0</v>
      </c>
      <c r="G249" s="85">
        <f t="shared" si="78"/>
        <v>0</v>
      </c>
      <c r="H249" s="85">
        <f t="shared" si="78"/>
        <v>0</v>
      </c>
      <c r="I249" s="85">
        <f t="shared" si="78"/>
        <v>240173843.73000002</v>
      </c>
      <c r="J249" s="85">
        <f t="shared" si="78"/>
        <v>0</v>
      </c>
      <c r="K249" s="85">
        <f t="shared" si="78"/>
        <v>0</v>
      </c>
      <c r="L249" s="188" t="e">
        <f t="shared" si="75"/>
        <v>#DIV/0!</v>
      </c>
      <c r="M249" s="85"/>
      <c r="N249" s="85"/>
      <c r="O249" s="85"/>
      <c r="P249" s="85"/>
      <c r="Q249" s="85"/>
      <c r="R249" s="85"/>
      <c r="S249" s="85"/>
      <c r="T249" s="85"/>
      <c r="U249" s="85"/>
      <c r="V249" s="85">
        <f t="shared" si="78"/>
        <v>0</v>
      </c>
      <c r="W249" s="64"/>
      <c r="X249" s="26"/>
      <c r="Y249" s="26"/>
      <c r="Z249" s="26"/>
      <c r="AA249" s="26"/>
      <c r="AB249" s="26"/>
      <c r="AC249" s="26"/>
      <c r="AD249" s="26"/>
      <c r="AE249" s="26"/>
      <c r="AF249" s="26"/>
      <c r="AG249" s="26"/>
      <c r="AH249" s="26"/>
      <c r="AI249" s="26"/>
      <c r="AJ249" s="26"/>
      <c r="AK249" s="26"/>
      <c r="AL249" s="26"/>
      <c r="AM249" s="26"/>
      <c r="AN249" s="26"/>
      <c r="AO249" s="26"/>
      <c r="AP249" s="26"/>
      <c r="AQ249" s="26"/>
      <c r="AR249" s="26"/>
      <c r="AS249" s="26"/>
      <c r="AT249" s="26"/>
      <c r="AU249" s="26"/>
      <c r="AV249" s="26"/>
      <c r="AW249" s="26"/>
      <c r="AX249" s="26"/>
      <c r="AY249" s="26"/>
      <c r="AZ249" s="26"/>
      <c r="BA249" s="26"/>
      <c r="BB249" s="26"/>
      <c r="BC249" s="26"/>
      <c r="BD249" s="26"/>
      <c r="BE249" s="26"/>
      <c r="BF249" s="26"/>
      <c r="BG249" s="26"/>
      <c r="BH249" s="26"/>
      <c r="BI249" s="26"/>
      <c r="BJ249" s="26"/>
      <c r="BK249" s="26"/>
      <c r="BL249" s="26"/>
      <c r="BM249" s="26"/>
      <c r="BN249" s="26"/>
    </row>
    <row r="250" spans="1:66" s="32" customFormat="1" ht="38.25" x14ac:dyDescent="0.2">
      <c r="A250" s="160" t="s">
        <v>238</v>
      </c>
      <c r="B250" s="9" t="s">
        <v>237</v>
      </c>
      <c r="C250" s="180" t="s">
        <v>107</v>
      </c>
      <c r="D250" s="86">
        <v>6143248.1600000001</v>
      </c>
      <c r="E250" s="86">
        <v>0</v>
      </c>
      <c r="F250" s="86">
        <v>0</v>
      </c>
      <c r="G250" s="86">
        <v>0</v>
      </c>
      <c r="H250" s="86">
        <v>0</v>
      </c>
      <c r="I250" s="86">
        <f>D250+E250-F250+G250-H250</f>
        <v>6143248.1600000001</v>
      </c>
      <c r="J250" s="86">
        <v>0</v>
      </c>
      <c r="K250" s="86">
        <v>0</v>
      </c>
      <c r="L250" s="188" t="e">
        <f t="shared" si="75"/>
        <v>#DIV/0!</v>
      </c>
      <c r="M250" s="86"/>
      <c r="N250" s="86"/>
      <c r="O250" s="86"/>
      <c r="P250" s="86"/>
      <c r="Q250" s="86"/>
      <c r="R250" s="86"/>
      <c r="S250" s="86"/>
      <c r="T250" s="86"/>
      <c r="U250" s="86"/>
      <c r="V250" s="86">
        <v>0</v>
      </c>
      <c r="W250" s="64"/>
      <c r="X250" s="29"/>
      <c r="Y250" s="29"/>
      <c r="Z250" s="29"/>
      <c r="AA250" s="29"/>
      <c r="AB250" s="29"/>
      <c r="AC250" s="29"/>
      <c r="AD250" s="29"/>
      <c r="AE250" s="29"/>
      <c r="AF250" s="29"/>
      <c r="AG250" s="29"/>
      <c r="AH250" s="29"/>
      <c r="AI250" s="29"/>
      <c r="AJ250" s="29"/>
      <c r="AK250" s="29"/>
      <c r="AL250" s="29"/>
      <c r="AM250" s="29"/>
      <c r="AN250" s="29"/>
      <c r="AO250" s="29"/>
      <c r="AP250" s="29"/>
      <c r="AQ250" s="29"/>
      <c r="AR250" s="29"/>
      <c r="AS250" s="29"/>
      <c r="AT250" s="29"/>
      <c r="AU250" s="29"/>
      <c r="AV250" s="29"/>
      <c r="AW250" s="29"/>
      <c r="AX250" s="29"/>
      <c r="AY250" s="29"/>
      <c r="AZ250" s="29"/>
      <c r="BA250" s="29"/>
      <c r="BB250" s="29"/>
      <c r="BC250" s="29"/>
      <c r="BD250" s="29"/>
      <c r="BE250" s="29"/>
      <c r="BF250" s="29"/>
      <c r="BG250" s="29"/>
      <c r="BH250" s="29"/>
      <c r="BI250" s="29"/>
      <c r="BJ250" s="29"/>
      <c r="BK250" s="29"/>
      <c r="BL250" s="29"/>
      <c r="BM250" s="29"/>
      <c r="BN250" s="29"/>
    </row>
    <row r="251" spans="1:66" s="32" customFormat="1" ht="38.25" x14ac:dyDescent="0.2">
      <c r="A251" s="160" t="s">
        <v>239</v>
      </c>
      <c r="B251" s="9" t="s">
        <v>231</v>
      </c>
      <c r="C251" s="180" t="s">
        <v>107</v>
      </c>
      <c r="D251" s="86">
        <v>86678343.989999995</v>
      </c>
      <c r="E251" s="86">
        <v>0</v>
      </c>
      <c r="F251" s="86">
        <v>0</v>
      </c>
      <c r="G251" s="86">
        <v>0</v>
      </c>
      <c r="H251" s="86">
        <v>0</v>
      </c>
      <c r="I251" s="86">
        <f t="shared" ref="I251:I259" si="79">D251+E251-F251+G251-H251</f>
        <v>86678343.989999995</v>
      </c>
      <c r="J251" s="86">
        <v>0</v>
      </c>
      <c r="K251" s="86">
        <v>0</v>
      </c>
      <c r="L251" s="188" t="e">
        <f t="shared" si="75"/>
        <v>#DIV/0!</v>
      </c>
      <c r="M251" s="86"/>
      <c r="N251" s="86"/>
      <c r="O251" s="86"/>
      <c r="P251" s="86"/>
      <c r="Q251" s="86"/>
      <c r="R251" s="86"/>
      <c r="S251" s="86"/>
      <c r="T251" s="86"/>
      <c r="U251" s="86"/>
      <c r="V251" s="86">
        <v>0</v>
      </c>
      <c r="W251" s="64"/>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c r="AT251" s="29"/>
      <c r="AU251" s="29"/>
      <c r="AV251" s="29"/>
      <c r="AW251" s="29"/>
      <c r="AX251" s="29"/>
      <c r="AY251" s="29"/>
      <c r="AZ251" s="29"/>
      <c r="BA251" s="29"/>
      <c r="BB251" s="29"/>
      <c r="BC251" s="29"/>
      <c r="BD251" s="29"/>
      <c r="BE251" s="29"/>
      <c r="BF251" s="29"/>
      <c r="BG251" s="29"/>
      <c r="BH251" s="29"/>
      <c r="BI251" s="29"/>
      <c r="BJ251" s="29"/>
      <c r="BK251" s="29"/>
      <c r="BL251" s="29"/>
      <c r="BM251" s="29"/>
      <c r="BN251" s="29"/>
    </row>
    <row r="252" spans="1:66" s="32" customFormat="1" ht="38.25" x14ac:dyDescent="0.2">
      <c r="A252" s="160" t="s">
        <v>240</v>
      </c>
      <c r="B252" s="9" t="s">
        <v>232</v>
      </c>
      <c r="C252" s="8" t="s">
        <v>233</v>
      </c>
      <c r="D252" s="86">
        <v>2497252.38</v>
      </c>
      <c r="E252" s="86"/>
      <c r="F252" s="86"/>
      <c r="G252" s="86"/>
      <c r="H252" s="86"/>
      <c r="I252" s="86">
        <f t="shared" si="79"/>
        <v>2497252.38</v>
      </c>
      <c r="J252" s="86">
        <v>0</v>
      </c>
      <c r="K252" s="86">
        <v>0</v>
      </c>
      <c r="L252" s="188" t="e">
        <f t="shared" si="75"/>
        <v>#DIV/0!</v>
      </c>
      <c r="M252" s="86"/>
      <c r="N252" s="86"/>
      <c r="O252" s="86"/>
      <c r="P252" s="86"/>
      <c r="Q252" s="86"/>
      <c r="R252" s="86"/>
      <c r="S252" s="86"/>
      <c r="T252" s="86"/>
      <c r="U252" s="86"/>
      <c r="V252" s="86">
        <v>0</v>
      </c>
      <c r="W252" s="64"/>
      <c r="X252" s="29"/>
      <c r="Y252" s="29"/>
      <c r="Z252" s="29"/>
      <c r="AA252" s="29"/>
      <c r="AB252" s="29"/>
      <c r="AC252" s="29"/>
      <c r="AD252" s="29"/>
      <c r="AE252" s="29"/>
      <c r="AF252" s="29"/>
      <c r="AG252" s="29"/>
      <c r="AH252" s="29"/>
      <c r="AI252" s="29"/>
      <c r="AJ252" s="29"/>
      <c r="AK252" s="29"/>
      <c r="AL252" s="29"/>
      <c r="AM252" s="29"/>
      <c r="AN252" s="29"/>
      <c r="AO252" s="29"/>
      <c r="AP252" s="29"/>
      <c r="AQ252" s="29"/>
      <c r="AR252" s="29"/>
      <c r="AS252" s="29"/>
      <c r="AT252" s="29"/>
      <c r="AU252" s="29"/>
      <c r="AV252" s="29"/>
      <c r="AW252" s="29"/>
      <c r="AX252" s="29"/>
      <c r="AY252" s="29"/>
      <c r="AZ252" s="29"/>
      <c r="BA252" s="29"/>
      <c r="BB252" s="29"/>
      <c r="BC252" s="29"/>
      <c r="BD252" s="29"/>
      <c r="BE252" s="29"/>
      <c r="BF252" s="29"/>
      <c r="BG252" s="29"/>
      <c r="BH252" s="29"/>
      <c r="BI252" s="29"/>
      <c r="BJ252" s="29"/>
      <c r="BK252" s="29"/>
      <c r="BL252" s="29"/>
      <c r="BM252" s="29"/>
      <c r="BN252" s="29"/>
    </row>
    <row r="253" spans="1:66" s="32" customFormat="1" ht="38.25" x14ac:dyDescent="0.2">
      <c r="A253" s="160" t="s">
        <v>241</v>
      </c>
      <c r="B253" s="9" t="s">
        <v>234</v>
      </c>
      <c r="C253" s="8" t="s">
        <v>233</v>
      </c>
      <c r="D253" s="86">
        <v>61550904.630000003</v>
      </c>
      <c r="E253" s="86"/>
      <c r="F253" s="86"/>
      <c r="G253" s="86"/>
      <c r="H253" s="86"/>
      <c r="I253" s="86">
        <f t="shared" si="79"/>
        <v>61550904.630000003</v>
      </c>
      <c r="J253" s="86">
        <v>0</v>
      </c>
      <c r="K253" s="86">
        <v>0</v>
      </c>
      <c r="L253" s="188" t="e">
        <f t="shared" si="75"/>
        <v>#DIV/0!</v>
      </c>
      <c r="M253" s="86"/>
      <c r="N253" s="86"/>
      <c r="O253" s="86"/>
      <c r="P253" s="86"/>
      <c r="Q253" s="86"/>
      <c r="R253" s="86"/>
      <c r="S253" s="86"/>
      <c r="T253" s="86"/>
      <c r="U253" s="86"/>
      <c r="V253" s="86">
        <v>0</v>
      </c>
      <c r="W253" s="64"/>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c r="AT253" s="29"/>
      <c r="AU253" s="29"/>
      <c r="AV253" s="29"/>
      <c r="AW253" s="29"/>
      <c r="AX253" s="29"/>
      <c r="AY253" s="29"/>
      <c r="AZ253" s="29"/>
      <c r="BA253" s="29"/>
      <c r="BB253" s="29"/>
      <c r="BC253" s="29"/>
      <c r="BD253" s="29"/>
      <c r="BE253" s="29"/>
      <c r="BF253" s="29"/>
      <c r="BG253" s="29"/>
      <c r="BH253" s="29"/>
      <c r="BI253" s="29"/>
      <c r="BJ253" s="29"/>
      <c r="BK253" s="29"/>
      <c r="BL253" s="29"/>
      <c r="BM253" s="29"/>
      <c r="BN253" s="29"/>
    </row>
    <row r="254" spans="1:66" s="32" customFormat="1" ht="38.25" x14ac:dyDescent="0.2">
      <c r="A254" s="160" t="s">
        <v>242</v>
      </c>
      <c r="B254" s="9" t="s">
        <v>234</v>
      </c>
      <c r="C254" s="8" t="s">
        <v>233</v>
      </c>
      <c r="D254" s="86">
        <v>2211404.9700000002</v>
      </c>
      <c r="E254" s="86"/>
      <c r="F254" s="86"/>
      <c r="G254" s="86"/>
      <c r="H254" s="86"/>
      <c r="I254" s="86">
        <f t="shared" si="79"/>
        <v>2211404.9700000002</v>
      </c>
      <c r="J254" s="86">
        <v>0</v>
      </c>
      <c r="K254" s="86">
        <v>0</v>
      </c>
      <c r="L254" s="188" t="e">
        <f t="shared" si="75"/>
        <v>#DIV/0!</v>
      </c>
      <c r="M254" s="86"/>
      <c r="N254" s="86"/>
      <c r="O254" s="86"/>
      <c r="P254" s="86"/>
      <c r="Q254" s="86"/>
      <c r="R254" s="86"/>
      <c r="S254" s="86"/>
      <c r="T254" s="86"/>
      <c r="U254" s="86"/>
      <c r="V254" s="86">
        <v>0</v>
      </c>
      <c r="W254" s="64"/>
      <c r="X254" s="29"/>
      <c r="Y254" s="29"/>
      <c r="Z254" s="29"/>
      <c r="AA254" s="29"/>
      <c r="AB254" s="29"/>
      <c r="AC254" s="29"/>
      <c r="AD254" s="29"/>
      <c r="AE254" s="29"/>
      <c r="AF254" s="29"/>
      <c r="AG254" s="29"/>
      <c r="AH254" s="29"/>
      <c r="AI254" s="29"/>
      <c r="AJ254" s="29"/>
      <c r="AK254" s="29"/>
      <c r="AL254" s="29"/>
      <c r="AM254" s="29"/>
      <c r="AN254" s="29"/>
      <c r="AO254" s="29"/>
      <c r="AP254" s="29"/>
      <c r="AQ254" s="29"/>
      <c r="AR254" s="29"/>
      <c r="AS254" s="29"/>
      <c r="AT254" s="29"/>
      <c r="AU254" s="29"/>
      <c r="AV254" s="29"/>
      <c r="AW254" s="29"/>
      <c r="AX254" s="29"/>
      <c r="AY254" s="29"/>
      <c r="AZ254" s="29"/>
      <c r="BA254" s="29"/>
      <c r="BB254" s="29"/>
      <c r="BC254" s="29"/>
      <c r="BD254" s="29"/>
      <c r="BE254" s="29"/>
      <c r="BF254" s="29"/>
      <c r="BG254" s="29"/>
      <c r="BH254" s="29"/>
      <c r="BI254" s="29"/>
      <c r="BJ254" s="29"/>
      <c r="BK254" s="29"/>
      <c r="BL254" s="29"/>
      <c r="BM254" s="29"/>
      <c r="BN254" s="29"/>
    </row>
    <row r="255" spans="1:66" s="32" customFormat="1" ht="38.25" x14ac:dyDescent="0.2">
      <c r="A255" s="160" t="s">
        <v>243</v>
      </c>
      <c r="B255" s="9" t="s">
        <v>235</v>
      </c>
      <c r="C255" s="8" t="s">
        <v>233</v>
      </c>
      <c r="D255" s="86">
        <v>36254640.240000002</v>
      </c>
      <c r="E255" s="86"/>
      <c r="F255" s="86"/>
      <c r="G255" s="86"/>
      <c r="H255" s="86"/>
      <c r="I255" s="86">
        <f t="shared" si="79"/>
        <v>36254640.240000002</v>
      </c>
      <c r="J255" s="86">
        <v>0</v>
      </c>
      <c r="K255" s="86">
        <v>0</v>
      </c>
      <c r="L255" s="188" t="e">
        <f t="shared" si="75"/>
        <v>#DIV/0!</v>
      </c>
      <c r="M255" s="86"/>
      <c r="N255" s="86"/>
      <c r="O255" s="86"/>
      <c r="P255" s="86"/>
      <c r="Q255" s="86"/>
      <c r="R255" s="86"/>
      <c r="S255" s="86"/>
      <c r="T255" s="86"/>
      <c r="U255" s="86"/>
      <c r="V255" s="86">
        <v>0</v>
      </c>
      <c r="W255" s="64"/>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c r="AT255" s="29"/>
      <c r="AU255" s="29"/>
      <c r="AV255" s="29"/>
      <c r="AW255" s="29"/>
      <c r="AX255" s="29"/>
      <c r="AY255" s="29"/>
      <c r="AZ255" s="29"/>
      <c r="BA255" s="29"/>
      <c r="BB255" s="29"/>
      <c r="BC255" s="29"/>
      <c r="BD255" s="29"/>
      <c r="BE255" s="29"/>
      <c r="BF255" s="29"/>
      <c r="BG255" s="29"/>
      <c r="BH255" s="29"/>
      <c r="BI255" s="29"/>
      <c r="BJ255" s="29"/>
      <c r="BK255" s="29"/>
      <c r="BL255" s="29"/>
      <c r="BM255" s="29"/>
      <c r="BN255" s="29"/>
    </row>
    <row r="256" spans="1:66" s="32" customFormat="1" ht="38.25" x14ac:dyDescent="0.2">
      <c r="A256" s="160" t="s">
        <v>244</v>
      </c>
      <c r="B256" s="9" t="s">
        <v>236</v>
      </c>
      <c r="C256" s="8" t="s">
        <v>233</v>
      </c>
      <c r="D256" s="86">
        <v>39004339.359999999</v>
      </c>
      <c r="E256" s="86"/>
      <c r="F256" s="86"/>
      <c r="G256" s="86"/>
      <c r="H256" s="86"/>
      <c r="I256" s="86">
        <f t="shared" si="79"/>
        <v>39004339.359999999</v>
      </c>
      <c r="J256" s="86">
        <v>0</v>
      </c>
      <c r="K256" s="86">
        <v>0</v>
      </c>
      <c r="L256" s="188" t="e">
        <f t="shared" si="75"/>
        <v>#DIV/0!</v>
      </c>
      <c r="M256" s="86"/>
      <c r="N256" s="86"/>
      <c r="O256" s="86"/>
      <c r="P256" s="86"/>
      <c r="Q256" s="86"/>
      <c r="R256" s="86"/>
      <c r="S256" s="86"/>
      <c r="T256" s="86"/>
      <c r="U256" s="86"/>
      <c r="V256" s="86">
        <v>0</v>
      </c>
      <c r="W256" s="64"/>
      <c r="X256" s="29"/>
      <c r="Y256" s="29"/>
      <c r="Z256" s="29"/>
      <c r="AA256" s="29"/>
      <c r="AB256" s="29"/>
      <c r="AC256" s="29"/>
      <c r="AD256" s="29"/>
      <c r="AE256" s="29"/>
      <c r="AF256" s="29"/>
      <c r="AG256" s="29"/>
      <c r="AH256" s="29"/>
      <c r="AI256" s="29"/>
      <c r="AJ256" s="29"/>
      <c r="AK256" s="29"/>
      <c r="AL256" s="29"/>
      <c r="AM256" s="29"/>
      <c r="AN256" s="29"/>
      <c r="AO256" s="29"/>
      <c r="AP256" s="29"/>
      <c r="AQ256" s="29"/>
      <c r="AR256" s="29"/>
      <c r="AS256" s="29"/>
      <c r="AT256" s="29"/>
      <c r="AU256" s="29"/>
      <c r="AV256" s="29"/>
      <c r="AW256" s="29"/>
      <c r="AX256" s="29"/>
      <c r="AY256" s="29"/>
      <c r="AZ256" s="29"/>
      <c r="BA256" s="29"/>
      <c r="BB256" s="29"/>
      <c r="BC256" s="29"/>
      <c r="BD256" s="29"/>
      <c r="BE256" s="29"/>
      <c r="BF256" s="29"/>
      <c r="BG256" s="29"/>
      <c r="BH256" s="29"/>
      <c r="BI256" s="29"/>
      <c r="BJ256" s="29"/>
      <c r="BK256" s="29"/>
      <c r="BL256" s="29"/>
      <c r="BM256" s="29"/>
      <c r="BN256" s="29"/>
    </row>
    <row r="257" spans="1:66" s="32" customFormat="1" ht="38.25" x14ac:dyDescent="0.2">
      <c r="A257" s="160" t="s">
        <v>245</v>
      </c>
      <c r="B257" s="9" t="s">
        <v>234</v>
      </c>
      <c r="C257" s="8" t="s">
        <v>233</v>
      </c>
      <c r="D257" s="86">
        <v>3522240</v>
      </c>
      <c r="E257" s="86"/>
      <c r="F257" s="86"/>
      <c r="G257" s="86"/>
      <c r="H257" s="86"/>
      <c r="I257" s="86">
        <f t="shared" si="79"/>
        <v>3522240</v>
      </c>
      <c r="J257" s="86">
        <v>0</v>
      </c>
      <c r="K257" s="86">
        <v>0</v>
      </c>
      <c r="L257" s="188" t="e">
        <f t="shared" si="75"/>
        <v>#DIV/0!</v>
      </c>
      <c r="M257" s="86"/>
      <c r="N257" s="86"/>
      <c r="O257" s="86"/>
      <c r="P257" s="86"/>
      <c r="Q257" s="86"/>
      <c r="R257" s="86"/>
      <c r="S257" s="86"/>
      <c r="T257" s="86"/>
      <c r="U257" s="86"/>
      <c r="V257" s="86">
        <v>0</v>
      </c>
      <c r="W257" s="64"/>
      <c r="X257" s="29"/>
      <c r="Y257" s="29"/>
      <c r="Z257" s="29"/>
      <c r="AA257" s="29"/>
      <c r="AB257" s="29"/>
      <c r="AC257" s="29"/>
      <c r="AD257" s="29"/>
      <c r="AE257" s="29"/>
      <c r="AF257" s="29"/>
      <c r="AG257" s="29"/>
      <c r="AH257" s="29"/>
      <c r="AI257" s="29"/>
      <c r="AJ257" s="29"/>
      <c r="AK257" s="29"/>
      <c r="AL257" s="29"/>
      <c r="AM257" s="29"/>
      <c r="AN257" s="29"/>
      <c r="AO257" s="29"/>
      <c r="AP257" s="29"/>
      <c r="AQ257" s="29"/>
      <c r="AR257" s="29"/>
      <c r="AS257" s="29"/>
      <c r="AT257" s="29"/>
      <c r="AU257" s="29"/>
      <c r="AV257" s="29"/>
      <c r="AW257" s="29"/>
      <c r="AX257" s="29"/>
      <c r="AY257" s="29"/>
      <c r="AZ257" s="29"/>
      <c r="BA257" s="29"/>
      <c r="BB257" s="29"/>
      <c r="BC257" s="29"/>
      <c r="BD257" s="29"/>
      <c r="BE257" s="29"/>
      <c r="BF257" s="29"/>
      <c r="BG257" s="29"/>
      <c r="BH257" s="29"/>
      <c r="BI257" s="29"/>
      <c r="BJ257" s="29"/>
      <c r="BK257" s="29"/>
      <c r="BL257" s="29"/>
      <c r="BM257" s="29"/>
      <c r="BN257" s="29"/>
    </row>
    <row r="258" spans="1:66" s="32" customFormat="1" ht="38.25" x14ac:dyDescent="0.2">
      <c r="A258" s="160" t="s">
        <v>246</v>
      </c>
      <c r="B258" s="9" t="s">
        <v>234</v>
      </c>
      <c r="C258" s="8" t="s">
        <v>233</v>
      </c>
      <c r="D258" s="86">
        <v>891070</v>
      </c>
      <c r="E258" s="86"/>
      <c r="F258" s="86"/>
      <c r="G258" s="86"/>
      <c r="H258" s="86"/>
      <c r="I258" s="86">
        <f t="shared" si="79"/>
        <v>891070</v>
      </c>
      <c r="J258" s="86">
        <v>0</v>
      </c>
      <c r="K258" s="86">
        <v>0</v>
      </c>
      <c r="L258" s="188" t="e">
        <f t="shared" si="75"/>
        <v>#DIV/0!</v>
      </c>
      <c r="M258" s="86"/>
      <c r="N258" s="86"/>
      <c r="O258" s="86"/>
      <c r="P258" s="86"/>
      <c r="Q258" s="86"/>
      <c r="R258" s="86"/>
      <c r="S258" s="86"/>
      <c r="T258" s="86"/>
      <c r="U258" s="86"/>
      <c r="V258" s="86">
        <v>0</v>
      </c>
      <c r="W258" s="64"/>
      <c r="X258" s="29"/>
      <c r="Y258" s="29"/>
      <c r="Z258" s="29"/>
      <c r="AA258" s="29"/>
      <c r="AB258" s="29"/>
      <c r="AC258" s="29"/>
      <c r="AD258" s="29"/>
      <c r="AE258" s="29"/>
      <c r="AF258" s="29"/>
      <c r="AG258" s="29"/>
      <c r="AH258" s="29"/>
      <c r="AI258" s="29"/>
      <c r="AJ258" s="29"/>
      <c r="AK258" s="29"/>
      <c r="AL258" s="29"/>
      <c r="AM258" s="29"/>
      <c r="AN258" s="29"/>
      <c r="AO258" s="29"/>
      <c r="AP258" s="29"/>
      <c r="AQ258" s="29"/>
      <c r="AR258" s="29"/>
      <c r="AS258" s="29"/>
      <c r="AT258" s="29"/>
      <c r="AU258" s="29"/>
      <c r="AV258" s="29"/>
      <c r="AW258" s="29"/>
      <c r="AX258" s="29"/>
      <c r="AY258" s="29"/>
      <c r="AZ258" s="29"/>
      <c r="BA258" s="29"/>
      <c r="BB258" s="29"/>
      <c r="BC258" s="29"/>
      <c r="BD258" s="29"/>
      <c r="BE258" s="29"/>
      <c r="BF258" s="29"/>
      <c r="BG258" s="29"/>
      <c r="BH258" s="29"/>
      <c r="BI258" s="29"/>
      <c r="BJ258" s="29"/>
      <c r="BK258" s="29"/>
      <c r="BL258" s="29"/>
      <c r="BM258" s="29"/>
      <c r="BN258" s="29"/>
    </row>
    <row r="259" spans="1:66" s="32" customFormat="1" ht="38.25" x14ac:dyDescent="0.2">
      <c r="A259" s="160" t="s">
        <v>247</v>
      </c>
      <c r="B259" s="9" t="s">
        <v>234</v>
      </c>
      <c r="C259" s="8" t="s">
        <v>233</v>
      </c>
      <c r="D259" s="86">
        <v>1420400</v>
      </c>
      <c r="E259" s="86"/>
      <c r="F259" s="86"/>
      <c r="G259" s="86"/>
      <c r="H259" s="86"/>
      <c r="I259" s="86">
        <f t="shared" si="79"/>
        <v>1420400</v>
      </c>
      <c r="J259" s="86">
        <v>0</v>
      </c>
      <c r="K259" s="86">
        <v>0</v>
      </c>
      <c r="L259" s="188" t="e">
        <f t="shared" si="75"/>
        <v>#DIV/0!</v>
      </c>
      <c r="M259" s="86"/>
      <c r="N259" s="86"/>
      <c r="O259" s="86"/>
      <c r="P259" s="86"/>
      <c r="Q259" s="86"/>
      <c r="R259" s="86"/>
      <c r="S259" s="86"/>
      <c r="T259" s="86"/>
      <c r="U259" s="86"/>
      <c r="V259" s="86">
        <v>0</v>
      </c>
      <c r="W259" s="64"/>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c r="AV259" s="29"/>
      <c r="AW259" s="29"/>
      <c r="AX259" s="29"/>
      <c r="AY259" s="29"/>
      <c r="AZ259" s="29"/>
      <c r="BA259" s="29"/>
      <c r="BB259" s="29"/>
      <c r="BC259" s="29"/>
      <c r="BD259" s="29"/>
      <c r="BE259" s="29"/>
      <c r="BF259" s="29"/>
      <c r="BG259" s="29"/>
      <c r="BH259" s="29"/>
      <c r="BI259" s="29"/>
      <c r="BJ259" s="29"/>
      <c r="BK259" s="29"/>
      <c r="BL259" s="29"/>
      <c r="BM259" s="29"/>
      <c r="BN259" s="29"/>
    </row>
    <row r="260" spans="1:66" x14ac:dyDescent="0.2">
      <c r="B260" s="36" t="s">
        <v>35</v>
      </c>
      <c r="C260" s="181" t="s">
        <v>39</v>
      </c>
      <c r="D260" s="89">
        <f>+D29+D113+D246</f>
        <v>198437358989.31216</v>
      </c>
      <c r="E260" s="89">
        <f t="shared" ref="E260:V260" si="80">+E29+E113+E246</f>
        <v>0</v>
      </c>
      <c r="F260" s="89">
        <f t="shared" si="80"/>
        <v>0</v>
      </c>
      <c r="G260" s="89">
        <f t="shared" si="80"/>
        <v>0</v>
      </c>
      <c r="H260" s="89">
        <f t="shared" si="80"/>
        <v>0</v>
      </c>
      <c r="I260" s="89">
        <f t="shared" si="80"/>
        <v>198437358989.31216</v>
      </c>
      <c r="J260" s="89">
        <f t="shared" si="80"/>
        <v>0</v>
      </c>
      <c r="K260" s="89">
        <f t="shared" si="80"/>
        <v>0</v>
      </c>
      <c r="L260" s="188"/>
      <c r="M260" s="89"/>
      <c r="N260" s="89"/>
      <c r="O260" s="89"/>
      <c r="P260" s="89"/>
      <c r="Q260" s="89"/>
      <c r="R260" s="89"/>
      <c r="S260" s="89"/>
      <c r="T260" s="89"/>
      <c r="U260" s="89"/>
      <c r="V260" s="89">
        <f t="shared" si="80"/>
        <v>0</v>
      </c>
      <c r="W260" s="64"/>
    </row>
    <row r="261" spans="1:66" x14ac:dyDescent="0.2">
      <c r="B261" s="37"/>
      <c r="C261" s="182" t="s">
        <v>36</v>
      </c>
      <c r="D261" s="90">
        <f>+D28-D260</f>
        <v>-5886170880.8021545</v>
      </c>
      <c r="E261" s="90">
        <f t="shared" ref="E261:V261" si="81">+E28-E260</f>
        <v>0</v>
      </c>
      <c r="F261" s="90">
        <f t="shared" si="81"/>
        <v>0</v>
      </c>
      <c r="G261" s="90">
        <f t="shared" si="81"/>
        <v>0</v>
      </c>
      <c r="H261" s="90">
        <f t="shared" si="81"/>
        <v>0</v>
      </c>
      <c r="I261" s="90">
        <f t="shared" si="81"/>
        <v>-5886170880.8021545</v>
      </c>
      <c r="J261" s="90">
        <f t="shared" si="81"/>
        <v>0</v>
      </c>
      <c r="K261" s="90">
        <f t="shared" si="81"/>
        <v>0</v>
      </c>
      <c r="L261" s="188"/>
      <c r="M261" s="90"/>
      <c r="N261" s="90"/>
      <c r="O261" s="90"/>
      <c r="P261" s="90"/>
      <c r="Q261" s="90"/>
      <c r="R261" s="90"/>
      <c r="S261" s="90"/>
      <c r="T261" s="90"/>
      <c r="U261" s="90"/>
      <c r="V261" s="90">
        <f t="shared" si="81"/>
        <v>0</v>
      </c>
      <c r="W261" s="64"/>
    </row>
    <row r="265" spans="1:66" ht="15.75" x14ac:dyDescent="0.2">
      <c r="E265" s="64"/>
      <c r="F265" s="64"/>
      <c r="G265" s="126"/>
      <c r="H265" s="64"/>
      <c r="I265" s="119"/>
    </row>
    <row r="266" spans="1:66" ht="14.25" x14ac:dyDescent="0.2">
      <c r="E266" s="64"/>
      <c r="F266" s="64"/>
      <c r="G266" s="127"/>
      <c r="H266" s="64"/>
      <c r="I266" s="119"/>
    </row>
    <row r="267" spans="1:66" s="38" customFormat="1" ht="15" x14ac:dyDescent="0.2">
      <c r="A267" s="164"/>
      <c r="C267" s="184" t="s">
        <v>158</v>
      </c>
      <c r="D267" s="115"/>
      <c r="E267" s="116"/>
      <c r="F267" s="116"/>
      <c r="G267" s="116"/>
      <c r="H267" s="116"/>
      <c r="I267" s="120"/>
      <c r="J267" s="115"/>
      <c r="K267" s="115"/>
      <c r="L267" s="128"/>
      <c r="M267" s="115"/>
      <c r="N267" s="115"/>
      <c r="O267" s="115"/>
      <c r="P267" s="115"/>
      <c r="Q267" s="115"/>
      <c r="R267" s="115"/>
      <c r="S267" s="115"/>
      <c r="T267" s="115"/>
      <c r="U267" s="115"/>
      <c r="V267" s="115"/>
      <c r="W267" s="71"/>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row>
    <row r="268" spans="1:66" s="38" customFormat="1" ht="15" x14ac:dyDescent="0.2">
      <c r="A268" s="164"/>
      <c r="C268" s="185" t="s">
        <v>136</v>
      </c>
      <c r="D268" s="116"/>
      <c r="E268" s="116"/>
      <c r="F268" s="116"/>
      <c r="G268" s="116"/>
      <c r="H268" s="116"/>
      <c r="I268" s="120"/>
      <c r="J268" s="115"/>
      <c r="K268" s="115"/>
      <c r="L268" s="129"/>
      <c r="M268" s="130"/>
      <c r="N268" s="115"/>
      <c r="O268" s="115"/>
      <c r="P268" s="115"/>
      <c r="Q268" s="115"/>
      <c r="R268" s="115"/>
      <c r="S268" s="115"/>
      <c r="T268" s="115"/>
      <c r="U268" s="115"/>
      <c r="V268" s="115"/>
      <c r="W268" s="71"/>
      <c r="X268" s="39"/>
      <c r="Y268" s="39"/>
      <c r="Z268" s="39"/>
      <c r="AA268" s="39"/>
      <c r="AB268" s="39"/>
      <c r="AC268" s="39"/>
      <c r="AD268" s="39"/>
      <c r="AE268" s="39"/>
      <c r="AF268" s="39"/>
      <c r="AG268" s="39"/>
      <c r="AH268" s="39"/>
      <c r="AI268" s="39"/>
      <c r="AJ268" s="39"/>
      <c r="AK268" s="39"/>
      <c r="AL268" s="39"/>
      <c r="AM268" s="39"/>
      <c r="AN268" s="39"/>
      <c r="AO268" s="39"/>
      <c r="AP268" s="39"/>
      <c r="AQ268" s="39"/>
      <c r="AR268" s="39"/>
      <c r="AS268" s="39"/>
      <c r="AT268" s="39"/>
      <c r="AU268" s="39"/>
      <c r="AV268" s="39"/>
      <c r="AW268" s="39"/>
      <c r="AX268" s="39"/>
      <c r="AY268" s="39"/>
      <c r="AZ268" s="39"/>
      <c r="BA268" s="39"/>
      <c r="BB268" s="39"/>
      <c r="BC268" s="39"/>
      <c r="BD268" s="39"/>
      <c r="BE268" s="39"/>
      <c r="BF268" s="39"/>
      <c r="BG268" s="39"/>
      <c r="BH268" s="39"/>
      <c r="BI268" s="39"/>
      <c r="BJ268" s="39"/>
      <c r="BK268" s="39"/>
      <c r="BL268" s="39"/>
      <c r="BM268" s="39"/>
      <c r="BN268" s="39"/>
    </row>
    <row r="269" spans="1:66" x14ac:dyDescent="0.2">
      <c r="B269" s="35" t="s">
        <v>159</v>
      </c>
    </row>
  </sheetData>
  <mergeCells count="2">
    <mergeCell ref="C1:G1"/>
    <mergeCell ref="C2:I2"/>
  </mergeCells>
  <pageMargins left="0.43307086614173229" right="0.23622047244094491" top="0.74803149606299213" bottom="0.74803149606299213" header="0.11811023622047245" footer="0.31496062992125984"/>
  <pageSetup paperSize="9" scale="38" fitToHeight="0" orientation="landscape" r:id="rId1"/>
  <headerFooter>
    <oddFooter>&amp;C&amp;P DE &amp;N</oddFooter>
  </headerFooter>
  <rowBreaks count="1" manualBreakCount="1">
    <brk id="73" min="1" max="2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1"/>
  <sheetViews>
    <sheetView workbookViewId="0">
      <selection activeCell="D8" sqref="D8"/>
    </sheetView>
  </sheetViews>
  <sheetFormatPr baseColWidth="10" defaultColWidth="10.7109375" defaultRowHeight="12.75" x14ac:dyDescent="0.2"/>
  <cols>
    <col min="1" max="1" width="36.140625" bestFit="1" customWidth="1"/>
    <col min="2" max="2" width="20.140625" style="41" customWidth="1"/>
    <col min="3" max="3" width="33.140625" bestFit="1" customWidth="1"/>
    <col min="4" max="4" width="19.28515625" bestFit="1" customWidth="1"/>
    <col min="9" max="9" width="19.28515625" bestFit="1" customWidth="1"/>
  </cols>
  <sheetData>
    <row r="1" spans="1:16" ht="24" x14ac:dyDescent="0.2">
      <c r="A1" s="51" t="s">
        <v>160</v>
      </c>
      <c r="B1" s="52" t="s">
        <v>162</v>
      </c>
      <c r="C1" s="53" t="s">
        <v>163</v>
      </c>
      <c r="D1" s="54" t="s">
        <v>165</v>
      </c>
      <c r="E1" s="57" t="s">
        <v>178</v>
      </c>
      <c r="F1" s="57" t="s">
        <v>179</v>
      </c>
      <c r="G1" s="57" t="s">
        <v>180</v>
      </c>
      <c r="H1" s="57" t="s">
        <v>181</v>
      </c>
      <c r="I1" s="57" t="s">
        <v>182</v>
      </c>
      <c r="J1" s="57" t="s">
        <v>183</v>
      </c>
      <c r="K1" s="57" t="s">
        <v>184</v>
      </c>
      <c r="L1" s="57" t="s">
        <v>185</v>
      </c>
      <c r="M1" s="57" t="s">
        <v>186</v>
      </c>
      <c r="N1" s="57" t="s">
        <v>187</v>
      </c>
      <c r="O1" s="57" t="s">
        <v>188</v>
      </c>
      <c r="P1" s="57" t="s">
        <v>189</v>
      </c>
    </row>
    <row r="2" spans="1:16" x14ac:dyDescent="0.2">
      <c r="A2" s="43" t="s">
        <v>161</v>
      </c>
      <c r="B2" s="44">
        <v>2023005500240</v>
      </c>
      <c r="C2" s="45" t="s">
        <v>164</v>
      </c>
      <c r="D2" s="58">
        <v>4938095238</v>
      </c>
      <c r="E2" s="56">
        <v>0</v>
      </c>
      <c r="F2" s="56">
        <v>0</v>
      </c>
      <c r="G2" s="56">
        <v>0</v>
      </c>
      <c r="H2" s="56">
        <v>0</v>
      </c>
      <c r="I2" s="61">
        <f>D2</f>
        <v>4938095238</v>
      </c>
      <c r="J2" s="56">
        <v>0</v>
      </c>
      <c r="K2" s="56">
        <v>0</v>
      </c>
      <c r="L2" s="56">
        <v>0</v>
      </c>
      <c r="M2" s="56">
        <v>0</v>
      </c>
      <c r="N2" s="56">
        <v>0</v>
      </c>
      <c r="O2" s="56">
        <v>0</v>
      </c>
      <c r="P2" s="56">
        <v>0</v>
      </c>
    </row>
    <row r="3" spans="1:16" x14ac:dyDescent="0.2">
      <c r="A3" s="43" t="s">
        <v>161</v>
      </c>
      <c r="B3" s="46">
        <v>2023005500237</v>
      </c>
      <c r="C3" s="45" t="s">
        <v>166</v>
      </c>
      <c r="D3" s="58">
        <v>2117063223</v>
      </c>
      <c r="E3" s="56">
        <v>0</v>
      </c>
      <c r="F3" s="56">
        <v>0</v>
      </c>
      <c r="G3" s="56">
        <v>0</v>
      </c>
      <c r="H3" s="56">
        <v>0</v>
      </c>
      <c r="I3" s="61">
        <f t="shared" ref="I3:I10" si="0">D3</f>
        <v>2117063223</v>
      </c>
      <c r="J3" s="56">
        <v>0</v>
      </c>
      <c r="K3" s="56">
        <v>0</v>
      </c>
      <c r="L3" s="56">
        <v>0</v>
      </c>
      <c r="M3" s="56">
        <v>0</v>
      </c>
      <c r="N3" s="56">
        <v>0</v>
      </c>
      <c r="O3" s="56">
        <v>0</v>
      </c>
      <c r="P3" s="56">
        <v>0</v>
      </c>
    </row>
    <row r="4" spans="1:16" x14ac:dyDescent="0.2">
      <c r="A4" s="47" t="s">
        <v>167</v>
      </c>
      <c r="B4" s="46">
        <v>2023005500105</v>
      </c>
      <c r="C4" s="45" t="s">
        <v>168</v>
      </c>
      <c r="D4" s="59">
        <v>2850000000</v>
      </c>
      <c r="E4" s="56">
        <v>0</v>
      </c>
      <c r="F4" s="56">
        <v>0</v>
      </c>
      <c r="G4" s="56">
        <v>0</v>
      </c>
      <c r="H4" s="56">
        <v>0</v>
      </c>
      <c r="I4" s="61">
        <f t="shared" si="0"/>
        <v>2850000000</v>
      </c>
      <c r="J4" s="56">
        <v>0</v>
      </c>
      <c r="K4" s="56">
        <v>0</v>
      </c>
      <c r="L4" s="56">
        <v>0</v>
      </c>
      <c r="M4" s="56">
        <v>0</v>
      </c>
      <c r="N4" s="56">
        <v>0</v>
      </c>
      <c r="O4" s="56">
        <v>0</v>
      </c>
      <c r="P4" s="56">
        <v>0</v>
      </c>
    </row>
    <row r="5" spans="1:16" x14ac:dyDescent="0.2">
      <c r="A5" s="43" t="s">
        <v>169</v>
      </c>
      <c r="B5" s="46">
        <v>2023005500236</v>
      </c>
      <c r="C5" s="45" t="s">
        <v>170</v>
      </c>
      <c r="D5" s="59">
        <v>6825198239</v>
      </c>
      <c r="E5" s="56">
        <v>0</v>
      </c>
      <c r="F5" s="56">
        <v>0</v>
      </c>
      <c r="G5" s="56">
        <v>0</v>
      </c>
      <c r="H5" s="56">
        <v>0</v>
      </c>
      <c r="I5" s="61">
        <f t="shared" si="0"/>
        <v>6825198239</v>
      </c>
      <c r="J5" s="56">
        <v>0</v>
      </c>
      <c r="K5" s="56">
        <v>0</v>
      </c>
      <c r="L5" s="56">
        <v>0</v>
      </c>
      <c r="M5" s="56">
        <v>0</v>
      </c>
      <c r="N5" s="56">
        <v>0</v>
      </c>
      <c r="O5" s="56">
        <v>0</v>
      </c>
      <c r="P5" s="56">
        <v>0</v>
      </c>
    </row>
    <row r="6" spans="1:16" x14ac:dyDescent="0.2">
      <c r="A6" s="43" t="s">
        <v>169</v>
      </c>
      <c r="B6" s="46">
        <v>2023005500238</v>
      </c>
      <c r="C6" s="45" t="s">
        <v>171</v>
      </c>
      <c r="D6" s="59">
        <v>8341904762</v>
      </c>
      <c r="E6" s="56">
        <v>0</v>
      </c>
      <c r="F6" s="56">
        <v>0</v>
      </c>
      <c r="G6" s="56">
        <v>0</v>
      </c>
      <c r="H6" s="56">
        <v>0</v>
      </c>
      <c r="I6" s="61">
        <f t="shared" si="0"/>
        <v>8341904762</v>
      </c>
      <c r="J6" s="56">
        <v>0</v>
      </c>
      <c r="K6" s="56">
        <v>0</v>
      </c>
      <c r="L6" s="56">
        <v>0</v>
      </c>
      <c r="M6" s="56">
        <v>0</v>
      </c>
      <c r="N6" s="56">
        <v>0</v>
      </c>
      <c r="O6" s="56">
        <v>0</v>
      </c>
      <c r="P6" s="56">
        <v>0</v>
      </c>
    </row>
    <row r="7" spans="1:16" x14ac:dyDescent="0.2">
      <c r="A7" s="43" t="s">
        <v>169</v>
      </c>
      <c r="B7" s="46">
        <v>2022005500031</v>
      </c>
      <c r="C7" s="45" t="s">
        <v>172</v>
      </c>
      <c r="D7" s="59">
        <v>19000000000</v>
      </c>
      <c r="E7" s="56">
        <v>0</v>
      </c>
      <c r="F7" s="56">
        <v>0</v>
      </c>
      <c r="G7" s="56">
        <v>0</v>
      </c>
      <c r="H7" s="56">
        <v>0</v>
      </c>
      <c r="I7" s="61">
        <f t="shared" si="0"/>
        <v>19000000000</v>
      </c>
      <c r="J7" s="56">
        <v>0</v>
      </c>
      <c r="K7" s="56">
        <v>0</v>
      </c>
      <c r="L7" s="56">
        <v>0</v>
      </c>
      <c r="M7" s="56">
        <v>0</v>
      </c>
      <c r="N7" s="56">
        <v>0</v>
      </c>
      <c r="O7" s="56">
        <v>0</v>
      </c>
      <c r="P7" s="56">
        <v>0</v>
      </c>
    </row>
    <row r="8" spans="1:16" x14ac:dyDescent="0.2">
      <c r="A8" s="43" t="s">
        <v>173</v>
      </c>
      <c r="B8" s="46">
        <v>2023005500144</v>
      </c>
      <c r="C8" s="45" t="s">
        <v>174</v>
      </c>
      <c r="D8" s="59">
        <v>5550183499</v>
      </c>
      <c r="E8" s="56">
        <v>0</v>
      </c>
      <c r="F8" s="56">
        <v>0</v>
      </c>
      <c r="G8" s="56">
        <v>0</v>
      </c>
      <c r="H8" s="56">
        <v>0</v>
      </c>
      <c r="I8" s="61">
        <f t="shared" si="0"/>
        <v>5550183499</v>
      </c>
      <c r="J8" s="56">
        <v>0</v>
      </c>
      <c r="K8" s="56">
        <v>0</v>
      </c>
      <c r="L8" s="56">
        <v>0</v>
      </c>
      <c r="M8" s="56">
        <v>0</v>
      </c>
      <c r="N8" s="56">
        <v>0</v>
      </c>
      <c r="O8" s="56">
        <v>0</v>
      </c>
      <c r="P8" s="56">
        <v>0</v>
      </c>
    </row>
    <row r="9" spans="1:16" x14ac:dyDescent="0.2">
      <c r="A9" s="43" t="s">
        <v>175</v>
      </c>
      <c r="B9" s="46">
        <v>2023005500217</v>
      </c>
      <c r="C9" s="45" t="s">
        <v>176</v>
      </c>
      <c r="D9" s="59">
        <v>3478514202</v>
      </c>
      <c r="E9" s="56">
        <v>0</v>
      </c>
      <c r="F9" s="56">
        <v>0</v>
      </c>
      <c r="G9" s="56">
        <v>0</v>
      </c>
      <c r="H9" s="56">
        <v>0</v>
      </c>
      <c r="I9" s="61">
        <f t="shared" si="0"/>
        <v>3478514202</v>
      </c>
      <c r="J9" s="56">
        <v>0</v>
      </c>
      <c r="K9" s="56">
        <v>0</v>
      </c>
      <c r="L9" s="56">
        <v>0</v>
      </c>
      <c r="M9" s="56">
        <v>0</v>
      </c>
      <c r="N9" s="56">
        <v>0</v>
      </c>
      <c r="O9" s="56">
        <v>0</v>
      </c>
      <c r="P9" s="56">
        <v>0</v>
      </c>
    </row>
    <row r="10" spans="1:16" x14ac:dyDescent="0.2">
      <c r="A10" s="48" t="s">
        <v>175</v>
      </c>
      <c r="B10" s="49">
        <v>2023005500235</v>
      </c>
      <c r="C10" s="50" t="s">
        <v>177</v>
      </c>
      <c r="D10" s="60">
        <v>2015184984</v>
      </c>
      <c r="E10" s="56">
        <v>0</v>
      </c>
      <c r="F10" s="56">
        <v>0</v>
      </c>
      <c r="G10" s="56">
        <v>0</v>
      </c>
      <c r="H10" s="56">
        <v>0</v>
      </c>
      <c r="I10" s="61">
        <f t="shared" si="0"/>
        <v>2015184984</v>
      </c>
      <c r="J10" s="56">
        <v>0</v>
      </c>
      <c r="K10" s="56">
        <v>0</v>
      </c>
      <c r="L10" s="56">
        <v>0</v>
      </c>
      <c r="M10" s="56">
        <v>0</v>
      </c>
      <c r="N10" s="56">
        <v>0</v>
      </c>
      <c r="O10" s="56">
        <v>0</v>
      </c>
      <c r="P10" s="56">
        <v>0</v>
      </c>
    </row>
    <row r="11" spans="1:16" x14ac:dyDescent="0.2">
      <c r="A11" s="55" t="s">
        <v>32</v>
      </c>
      <c r="B11" s="49"/>
      <c r="C11" s="50"/>
      <c r="D11" s="60">
        <f>SUBTOTAL(109,D2:D10)</f>
        <v>55116144147</v>
      </c>
      <c r="E11" s="42"/>
      <c r="F11" s="42"/>
      <c r="G11" s="42"/>
      <c r="H11" s="42"/>
      <c r="I11" s="62">
        <f>SUBTOTAL(109,I2:I10)</f>
        <v>55116144147</v>
      </c>
      <c r="J11" s="42"/>
      <c r="K11" s="42"/>
      <c r="L11" s="42"/>
      <c r="M11" s="42"/>
      <c r="N11" s="42"/>
      <c r="O11" s="42"/>
      <c r="P11" s="4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8</vt:i4>
      </vt:variant>
    </vt:vector>
  </HeadingPairs>
  <TitlesOfParts>
    <vt:vector size="13" baseType="lpstr">
      <vt:lpstr>PROG PAC INGRESOS-GASTOS 2026</vt:lpstr>
      <vt:lpstr>PAC EJECUTADO COMPROMISOS</vt:lpstr>
      <vt:lpstr>PAC EJECUTADO PAGOS</vt:lpstr>
      <vt:lpstr>SEGUIMIENTO PAC</vt:lpstr>
      <vt:lpstr>Hoja1</vt:lpstr>
      <vt:lpstr>'PAC EJECUTADO COMPROMISOS'!Área_de_impresión</vt:lpstr>
      <vt:lpstr>'PAC EJECUTADO PAGOS'!Área_de_impresión</vt:lpstr>
      <vt:lpstr>'PROG PAC INGRESOS-GASTOS 2026'!Área_de_impresión</vt:lpstr>
      <vt:lpstr>'SEGUIMIENTO PAC'!Área_de_impresión</vt:lpstr>
      <vt:lpstr>'PAC EJECUTADO COMPROMISOS'!Títulos_a_imprimir</vt:lpstr>
      <vt:lpstr>'PAC EJECUTADO PAGOS'!Títulos_a_imprimir</vt:lpstr>
      <vt:lpstr>'PROG PAC INGRESOS-GASTOS 2026'!Títulos_a_imprimir</vt:lpstr>
      <vt:lpstr>'SEGUIMIENTO PAC'!Títulos_a_imprimir</vt:lpstr>
    </vt:vector>
  </TitlesOfParts>
  <Company>Jorge Eliecer Gaitan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Casa de la Cultura</dc:creator>
  <cp:lastModifiedBy>willian borrero</cp:lastModifiedBy>
  <cp:lastPrinted>2023-12-30T17:12:05Z</cp:lastPrinted>
  <dcterms:created xsi:type="dcterms:W3CDTF">2005-02-15T16:38:41Z</dcterms:created>
  <dcterms:modified xsi:type="dcterms:W3CDTF">2026-02-04T22:00:33Z</dcterms:modified>
</cp:coreProperties>
</file>